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i val="1"/>
      <color rgb="0094A3B8"/>
      <sz val="8"/>
    </font>
    <font>
      <name val="Calibri"/>
      <color rgb="00111827"/>
      <sz val="9"/>
    </font>
    <font>
      <name val="Calibri"/>
      <b val="1"/>
      <color rgb="00A78BFA"/>
      <sz val="14"/>
    </font>
    <font>
      <name val="Calibri"/>
      <b val="1"/>
      <color rgb="00FFFFFF"/>
      <sz val="11"/>
    </font>
    <font>
      <name val="Calibri"/>
      <b val="1"/>
      <color rgb="00E2E8F0"/>
      <sz val="9"/>
    </font>
    <font>
      <name val="Calibri"/>
      <b val="1"/>
      <color rgb="00FFFFFF"/>
      <sz val="10"/>
    </font>
    <font>
      <name val="Calibri"/>
      <b val="1"/>
      <color rgb="0094A3B8"/>
      <sz val="9"/>
    </font>
    <font>
      <name val="Calibri"/>
      <b val="1"/>
      <color rgb="00CBD5E1"/>
      <sz val="10"/>
    </font>
  </fonts>
  <fills count="15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6D28D9"/>
      </patternFill>
    </fill>
    <fill>
      <patternFill patternType="solid">
        <fgColor rgb="009D174D"/>
      </patternFill>
    </fill>
    <fill>
      <patternFill patternType="solid">
        <fgColor rgb="0078350F"/>
      </patternFill>
    </fill>
    <fill>
      <patternFill patternType="solid">
        <fgColor rgb="00374151"/>
      </patternFill>
    </fill>
    <fill>
      <patternFill patternType="solid">
        <fgColor rgb="004C1D95"/>
      </patternFill>
    </fill>
    <fill>
      <patternFill patternType="solid">
        <fgColor rgb="00064E3B"/>
      </patternFill>
    </fill>
    <fill>
      <patternFill patternType="solid">
        <fgColor rgb="001E293B"/>
      </patternFill>
    </fill>
    <fill>
      <patternFill patternType="solid">
        <fgColor rgb="002D3748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A34A"/>
    <outlinePr summaryBelow="1" summaryRight="1"/>
    <pageSetUpPr/>
  </sheetPr>
  <dimension ref="A1:AJ203"/>
  <sheetViews>
    <sheetView showGridLines="0" workbookViewId="0">
      <pane xSplit="4" ySplit="3" topLeftCell="E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10" customWidth="1" min="5" max="5"/>
    <col width="18" customWidth="1" min="6" max="6"/>
    <col width="10" customWidth="1" min="7" max="7"/>
    <col width="18" customWidth="1" min="8" max="8"/>
    <col width="16" customWidth="1" min="9" max="9"/>
    <col width="16" customWidth="1" min="10" max="10"/>
    <col width="18" customWidth="1" min="11" max="11"/>
    <col width="18" customWidth="1" min="12" max="12"/>
    <col width="22" customWidth="1" min="13" max="13"/>
    <col width="14" customWidth="1" min="14" max="14"/>
    <col width="16" customWidth="1" min="15" max="15"/>
    <col width="16" customWidth="1" min="16" max="16"/>
    <col width="20" customWidth="1" min="17" max="17"/>
    <col width="14" customWidth="1" min="18" max="18"/>
    <col width="16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50" customWidth="1" min="25" max="25"/>
    <col width="50" customWidth="1" min="26" max="26"/>
    <col width="16" customWidth="1" min="27" max="27"/>
    <col width="16" customWidth="1" min="28" max="28"/>
    <col width="15" customWidth="1" min="29" max="29"/>
    <col width="14" customWidth="1" min="30" max="30"/>
    <col width="14" customWidth="1" min="31" max="31"/>
    <col width="14" customWidth="1" min="32" max="32"/>
    <col width="16" customWidth="1" min="33" max="33"/>
    <col width="16" customWidth="1" min="34" max="34"/>
    <col width="20" customWidth="1" min="35" max="35"/>
    <col width="30" customWidth="1" min="36" max="36"/>
  </cols>
  <sheetData>
    <row r="1" ht="18" customHeight="1">
      <c r="A1" s="1" t="inlineStr">
        <is>
          <t>IDENTIFICATION</t>
        </is>
      </c>
      <c r="E1" s="2" t="inlineStr">
        <is>
          <t>TEMPLATE STRUCTURE</t>
        </is>
      </c>
      <c r="I1" s="3" t="inlineStr">
        <is>
          <t>TRACK &amp; STYLE</t>
        </is>
      </c>
      <c r="M1" s="4" t="inlineStr">
        <is>
          <t>ILLUSTRATION / SCENE</t>
        </is>
      </c>
      <c r="S1" s="5" t="inlineStr">
        <is>
          <t>INTENSITY</t>
        </is>
      </c>
      <c r="T1" s="6" t="inlineStr">
        <is>
          <t>GENERATED PROMPTS</t>
        </is>
      </c>
      <c r="Y1" s="7" t="inlineStr">
        <is>
          <t>GEMINI EVALUATION</t>
        </is>
      </c>
      <c r="AA1" s="8" t="inlineStr">
        <is>
          <t>QA SCORING — PART B</t>
        </is>
      </c>
    </row>
    <row r="2" ht="36" customHeight="1">
      <c r="A2" s="9" t="inlineStr">
        <is>
          <t>Unique Code</t>
        </is>
      </c>
      <c r="B2" s="9" t="inlineStr">
        <is>
          <t>Timestamp</t>
        </is>
      </c>
      <c r="C2" s="9" t="inlineStr">
        <is>
          <t>Evaluator</t>
        </is>
      </c>
      <c r="D2" s="9" t="inlineStr">
        <is>
          <t>Platform Tested</t>
        </is>
      </c>
      <c r="E2" s="9" t="inlineStr">
        <is>
          <t>Archetype</t>
        </is>
      </c>
      <c r="F2" s="9" t="inlineStr">
        <is>
          <t>Frame / Overlay Type</t>
        </is>
      </c>
      <c r="G2" s="9" t="inlineStr">
        <is>
          <t>Layout</t>
        </is>
      </c>
      <c r="H2" s="9" t="inlineStr">
        <is>
          <t>Overlay Strength (B1)</t>
        </is>
      </c>
      <c r="I2" s="9" t="inlineStr">
        <is>
          <t>Track</t>
        </is>
      </c>
      <c r="J2" s="9" t="inlineStr">
        <is>
          <t>Colour Palette</t>
        </is>
      </c>
      <c r="K2" s="9" t="inlineStr">
        <is>
          <t>Background Finish</t>
        </is>
      </c>
      <c r="L2" s="9" t="inlineStr">
        <is>
          <t>Render Style</t>
        </is>
      </c>
      <c r="M2" s="9" t="inlineStr">
        <is>
          <t>Illustration / Scene Main</t>
        </is>
      </c>
      <c r="N2" s="9" t="inlineStr">
        <is>
          <t>Illus Size (A1)</t>
        </is>
      </c>
      <c r="O2" s="9" t="inlineStr">
        <is>
          <t>Frame Decoration</t>
        </is>
      </c>
      <c r="P2" s="9" t="inlineStr">
        <is>
          <t>Motif</t>
        </is>
      </c>
      <c r="Q2" s="9" t="inlineStr">
        <is>
          <t>Accents / Supporting</t>
        </is>
      </c>
      <c r="R2" s="9" t="inlineStr">
        <is>
          <t>Mood (B1)</t>
        </is>
      </c>
      <c r="S2" s="9" t="inlineStr">
        <is>
          <t>Intensity</t>
        </is>
      </c>
      <c r="T2" s="9" t="inlineStr">
        <is>
          <t>Prompt — Firefly (w/ Text)</t>
        </is>
      </c>
      <c r="U2" s="9" t="inlineStr">
        <is>
          <t>Prompt — Firefly (No Text)</t>
        </is>
      </c>
      <c r="V2" s="9" t="inlineStr">
        <is>
          <t>Prompt — Midjourney</t>
        </is>
      </c>
      <c r="W2" s="9" t="inlineStr">
        <is>
          <t>Prompt — Leonardo</t>
        </is>
      </c>
      <c r="X2" s="9" t="inlineStr">
        <is>
          <t>Prompt — Gemini</t>
        </is>
      </c>
      <c r="Y2" s="9" t="inlineStr">
        <is>
          <t>AI Eval Prompt</t>
        </is>
      </c>
      <c r="Z2" s="9" t="inlineStr">
        <is>
          <t>AI Model Response</t>
        </is>
      </c>
      <c r="AA2" s="9" t="inlineStr">
        <is>
          <t>① Overall Score (1–5)</t>
        </is>
      </c>
      <c r="AB2" s="9" t="inlineStr">
        <is>
          <t>② Main Element (Y/P/N)</t>
        </is>
      </c>
      <c r="AC2" s="9" t="inlineStr">
        <is>
          <t>② Supporting (Y/P/N)</t>
        </is>
      </c>
      <c r="AD2" s="9" t="inlineStr">
        <is>
          <t>② Track Style (Y/N)</t>
        </is>
      </c>
      <c r="AE2" s="9" t="inlineStr">
        <is>
          <t>② Mood/Light (Y/N)</t>
        </is>
      </c>
      <c r="AF2" s="9" t="inlineStr">
        <is>
          <t>② Text Zone (Y/N)</t>
        </is>
      </c>
      <c r="AG2" s="9" t="inlineStr">
        <is>
          <t>③ Colour Harmony (1–5)</t>
        </is>
      </c>
      <c r="AH2" s="9" t="inlineStr">
        <is>
          <t>③ WhatsApp-Ready (Y/N)</t>
        </is>
      </c>
      <c r="AI2" s="9" t="inlineStr">
        <is>
          <t>④ Failure Tag</t>
        </is>
      </c>
      <c r="AJ2" s="9" t="inlineStr">
        <is>
          <t>⑤ Notes</t>
        </is>
      </c>
    </row>
    <row r="3" ht="20" customHeight="1">
      <c r="A3" s="10" t="inlineStr">
        <is>
          <t>Auto from wizard export (DDMM-ARCH-TRACK-LAYOUT-…)</t>
        </is>
      </c>
      <c r="B3" s="10" t="inlineStr">
        <is>
          <t>Auto from wizard</t>
        </is>
      </c>
      <c r="C3" s="10" t="inlineStr">
        <is>
          <t>Your name</t>
        </is>
      </c>
      <c r="D3" s="10" t="inlineStr">
        <is>
          <t>Select from dropdown</t>
        </is>
      </c>
      <c r="E3" s="10" t="inlineStr">
        <is>
          <t>A1 / A2 / B1</t>
        </is>
      </c>
      <c r="F3" s="10" t="inlineStr">
        <is>
          <t>A1: F1–F5 | B1: O1–O5 | A2: —</t>
        </is>
      </c>
      <c r="G3" s="10" t="inlineStr">
        <is>
          <t>L1–L6</t>
        </is>
      </c>
      <c r="H3" s="10" t="inlineStr">
        <is>
          <t>Light / Heavy — B1 only</t>
        </is>
      </c>
      <c r="I3" s="10" t="inlineStr">
        <is>
          <t>A–E</t>
        </is>
      </c>
      <c r="J3" s="10" t="inlineStr">
        <is>
          <t>A1/A2 only</t>
        </is>
      </c>
      <c r="K3" s="10" t="inlineStr">
        <is>
          <t>A1/A2 only</t>
        </is>
      </c>
      <c r="L3" s="10" t="inlineStr">
        <is>
          <t>A1/A2 only</t>
        </is>
      </c>
      <c r="M3" s="10" t="inlineStr">
        <is>
          <t>Main illustration (A1/A2) or main scene element (B1)</t>
        </is>
      </c>
      <c r="N3" s="10" t="inlineStr">
        <is>
          <t>Small / Medium / Large — A1 only</t>
        </is>
      </c>
      <c r="O3" s="10" t="inlineStr">
        <is>
          <t>Plain / Simple / Detailed — A1/A2 only</t>
        </is>
      </c>
      <c r="P3" s="10" t="inlineStr">
        <is>
          <t>A1/A2 only</t>
        </is>
      </c>
      <c r="Q3" s="10" t="inlineStr">
        <is>
          <t>A2: accent count | B1: supporting scene elements</t>
        </is>
      </c>
      <c r="R3" s="10" t="inlineStr">
        <is>
          <t>B1 only — Golden Warm, Misty Soft, etc.</t>
        </is>
      </c>
      <c r="S3" s="10" t="inlineStr">
        <is>
          <t>Preset name (Basic / Medium / Complex / etc.)</t>
        </is>
      </c>
      <c r="T3" s="10" t="inlineStr">
        <is>
          <t>Full prompt — ≤950 chars</t>
        </is>
      </c>
      <c r="U3" s="10" t="inlineStr">
        <is>
          <t>Full prompt — ≤950 chars</t>
        </is>
      </c>
      <c r="V3" s="10" t="inlineStr">
        <is>
          <t>Full prompt with --ar flags</t>
        </is>
      </c>
      <c r="W3" s="10" t="inlineStr">
        <is>
          <t>Full prompt — ≤1400 chars</t>
        </is>
      </c>
      <c r="X3" s="10" t="inlineStr">
        <is>
          <t>Full prompt — no char limit</t>
        </is>
      </c>
      <c r="Y3" s="10" t="inlineStr">
        <is>
          <t>Auto from wizard — paste + image into Gemini / Claude / ChatGPT to get a score</t>
        </is>
      </c>
      <c r="Z3" s="10" t="inlineStr">
        <is>
          <t>← Paste the AI model's response here (score + issues)</t>
        </is>
      </c>
      <c r="AA3" s="10" t="inlineStr">
        <is>
          <t>1=Unusable 2=Poor 3=OK 4=Good 5=Ship it</t>
        </is>
      </c>
      <c r="AB3" s="10" t="inlineStr">
        <is>
          <t>Y=Yes P=Partial N=Missing</t>
        </is>
      </c>
      <c r="AC3" s="10" t="inlineStr">
        <is>
          <t>Y=Yes P=Partial N=Missing/N/A</t>
        </is>
      </c>
      <c r="AD3" s="10" t="inlineStr">
        <is>
          <t>Does it match the intended track?</t>
        </is>
      </c>
      <c r="AE3" s="10" t="inlineStr">
        <is>
          <t>Lighting + colour matches selection?</t>
        </is>
      </c>
      <c r="AF3" s="10" t="inlineStr">
        <is>
          <t>Clear uncluttered text area?</t>
        </is>
      </c>
      <c r="AG3" s="10" t="inlineStr">
        <is>
          <t>1=Clashing 3=OK 5=Beautiful</t>
        </is>
      </c>
      <c r="AH3" s="10" t="inlineStr">
        <is>
          <t>Would a real Indian user share this?</t>
        </is>
      </c>
      <c r="AI3" s="10" t="inlineStr">
        <is>
          <t>Primary failure reason (select from list)</t>
        </is>
      </c>
      <c r="AJ3" s="10" t="inlineStr">
        <is>
          <t>Free text — what went wrong or right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</row>
  </sheetData>
  <mergeCells count="7">
    <mergeCell ref="A1:D1"/>
    <mergeCell ref="I1:L1"/>
    <mergeCell ref="T1:X1"/>
    <mergeCell ref="Y1:Z1"/>
    <mergeCell ref="M1:R1"/>
    <mergeCell ref="E1:H1"/>
    <mergeCell ref="AA1:AJ1"/>
  </mergeCells>
  <conditionalFormatting sqref="AA4:AA203">
    <cfRule type="colorScale" priority="1">
      <colorScale>
        <cfvo type="num" val="1"/>
        <cfvo type="num" val="3"/>
        <cfvo type="num" val="5"/>
        <color rgb="00DC2626"/>
        <color rgb="00F59E0B"/>
        <color rgb="0016A34A"/>
      </colorScale>
    </cfRule>
  </conditionalFormatting>
  <conditionalFormatting sqref="AG4:AG203">
    <cfRule type="colorScale" priority="2">
      <colorScale>
        <cfvo type="num" val="1"/>
        <cfvo type="num" val="3"/>
        <cfvo type="num" val="5"/>
        <color rgb="00DC2626"/>
        <color rgb="00F59E0B"/>
        <color rgb="0016A34A"/>
      </colorScale>
    </cfRule>
  </conditionalFormatting>
  <dataValidations count="8">
    <dataValidation sqref="D4:D203" showDropDown="0" showInputMessage="0" showErrorMessage="0" allowBlank="1" type="list">
      <formula1>"Midjourney,Leonardo.AI,Adobe Firefly (Text),Adobe Firefly (No Text),Google Gemini"</formula1>
    </dataValidation>
    <dataValidation sqref="AB4:AB203" showDropDown="0" showInputMessage="0" showErrorMessage="0" allowBlank="1" type="list">
      <formula1>"Y,P,N"</formula1>
    </dataValidation>
    <dataValidation sqref="AC4:AC203" showDropDown="0" showInputMessage="0" showErrorMessage="0" allowBlank="1" type="list">
      <formula1>"Y,P,N"</formula1>
    </dataValidation>
    <dataValidation sqref="AD4:AD203" showDropDown="0" showInputMessage="0" showErrorMessage="0" allowBlank="1" type="list">
      <formula1>"Y,N"</formula1>
    </dataValidation>
    <dataValidation sqref="AE4:AE203" showDropDown="0" showInputMessage="0" showErrorMessage="0" allowBlank="1" type="list">
      <formula1>"Y,N"</formula1>
    </dataValidation>
    <dataValidation sqref="AF4:AF203" showDropDown="0" showInputMessage="0" showErrorMessage="0" allowBlank="1" type="list">
      <formula1>"Y,N"</formula1>
    </dataValidation>
    <dataValidation sqref="AH4:AH203" showDropDown="0" showInputMessage="0" showErrorMessage="0" allowBlank="1" type="list">
      <formula1>"Y,N"</formula1>
    </dataValidation>
    <dataValidation sqref="AI4:AI203" showDropDown="0" showInputMessage="0" showErrorMessage="0" allowBlank="1" type="list">
      <formula1>"None,Missing main element,Supporting element missing,Wrong track style,Colour mismatch,Text zone blocked,Frame structure wrong,Illustration size wrong,Lighting/mood mismatch,Bad render style,Motif placement error,Photography not realistic,AI text visible,Artifacts/distortion,Too busy,Too sparse,Other"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C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0" customWidth="1" min="3" max="3"/>
  </cols>
  <sheetData>
    <row r="1"/>
    <row r="2" ht="28" customHeight="1">
      <c r="B2" s="13" t="inlineStr">
        <is>
          <t>Prompt Evaluation Framework — Instructions v2</t>
        </is>
      </c>
    </row>
    <row r="3"/>
    <row r="4" ht="22" customHeight="1">
      <c r="B4" s="14" t="inlineStr">
        <is>
          <t>📋 HOW TO USE — STEP BY STEP</t>
        </is>
      </c>
    </row>
    <row r="5" ht="18" customHeight="1">
      <c r="B5" s="15" t="inlineStr">
        <is>
          <t>Step 1 — Generate</t>
        </is>
      </c>
      <c r="C5" s="11" t="inlineStr">
        <is>
          <t>Open the HTML wizard. Walk through all steps and generate prompts.</t>
        </is>
      </c>
    </row>
    <row r="6" ht="18" customHeight="1">
      <c r="B6" s="15" t="inlineStr">
        <is>
          <t>Step 2 — Export Row</t>
        </is>
      </c>
      <c r="C6" s="11" t="inlineStr">
        <is>
          <t>Click 📋 Export Eval Row. Go to Eval Data tab → click cell A4 (or next empty row) → Paste (Cmd+V). All auto-fill columns populate.</t>
        </is>
      </c>
    </row>
    <row r="7" ht="18" customHeight="1">
      <c r="B7" s="15" t="inlineStr">
        <is>
          <t>Step 3 — Platform</t>
        </is>
      </c>
      <c r="C7" s="11" t="inlineStr">
        <is>
          <t>Fill col D (Platform Tested) from dropdown: which AI platform you ran the prompt on.</t>
        </is>
      </c>
    </row>
    <row r="8" ht="18" customHeight="1">
      <c r="B8" s="15" t="inlineStr">
        <is>
          <t>Step 4 — Run Prompt</t>
        </is>
      </c>
      <c r="C8" s="11" t="inlineStr">
        <is>
          <t>Paste the platform-specific prompt from the Excel into Midjourney / Leonardo / Firefly / Gemini. Save the generated image.</t>
        </is>
      </c>
    </row>
    <row r="9" ht="18" customHeight="1">
      <c r="B9" s="15" t="inlineStr">
        <is>
          <t>Step 5 — AI Eval</t>
        </is>
      </c>
      <c r="C9" s="11" t="inlineStr">
        <is>
          <t>Col Y (AI Eval Prompt) is auto-filled when you export the row. Copy it → open Gemini / Claude / ChatGPT → paste the prompt → attach the generated image → send. The prompt already has the Firefly generation prompt embedded. If you tested a different platform, paste that platform's prompt (from cols T–X) in place of it.</t>
        </is>
      </c>
    </row>
    <row r="10" ht="18" customHeight="1">
      <c r="B10" s="15" t="inlineStr">
        <is>
          <t>Step 6 — Paste Response</t>
        </is>
      </c>
      <c r="C10" s="11" t="inlineStr">
        <is>
          <t>Copy the AI model's full response. Paste it into col Z (AI Model Response) for that row.</t>
        </is>
      </c>
    </row>
    <row r="11" ht="18" customHeight="1">
      <c r="B11" s="15" t="inlineStr">
        <is>
          <t>Step 7 — Score</t>
        </is>
      </c>
      <c r="C11" s="11" t="inlineStr">
        <is>
          <t>Fill col AA (Overall Score 1–5) manually. Also fill element check dropdowns (cols AB–AF) and col AH (WhatsApp-Ready).</t>
        </is>
      </c>
    </row>
    <row r="12" ht="18" customHeight="1">
      <c r="B12" s="15" t="inlineStr">
        <is>
          <t>Step 8 — Repeat</t>
        </is>
      </c>
      <c r="C12" s="11" t="inlineStr">
        <is>
          <t>Same combo tested on 4 platforms = 4 rows (one per platform). Paste the same row 4 times, change col D each time.</t>
        </is>
      </c>
    </row>
    <row r="13"/>
    <row r="14" ht="22" customHeight="1">
      <c r="B14" s="16" t="inlineStr">
        <is>
          <t>🔑 UNIQUE CODE — FORMAT GUIDE</t>
        </is>
      </c>
    </row>
    <row r="15" ht="18" customHeight="1">
      <c r="B15" s="15" t="inlineStr">
        <is>
          <t>Format</t>
        </is>
      </c>
      <c r="C15" s="11" t="inlineStr">
        <is>
          <t>DDMM-[ARCH+STEP2]-[TRACK]-[LAYOUT]-[PAL]-[ILLUS]-[EXTRAS]-[INTENSITY]</t>
        </is>
      </c>
    </row>
    <row r="16" ht="18" customHeight="1">
      <c r="B16" s="15" t="inlineStr">
        <is>
          <t>A1 example</t>
        </is>
      </c>
      <c r="C16" s="11" t="inlineStr">
        <is>
          <t>2904-A1F2-B-L3-C2-SCC-Si-Md-Me</t>
        </is>
      </c>
    </row>
    <row r="17" ht="18" customHeight="1">
      <c r="B17" s="15" t="inlineStr">
        <is>
          <t xml:space="preserve">  → decoded</t>
        </is>
      </c>
      <c r="C17" s="11" t="inlineStr">
        <is>
          <t>29 Apr · A1 Dual Band frame · Modern Desi · Text Left · Soft Dawn · Steaming Chai Cup · Simple deco · Medium size · Medium intensity</t>
        </is>
      </c>
    </row>
    <row r="18" ht="18" customHeight="1">
      <c r="B18" s="15" t="inlineStr">
        <is>
          <t>A2 example</t>
        </is>
      </c>
      <c r="C18" s="11" t="inlineStr">
        <is>
          <t>2904-A2-D-L1-C5-LD-1ac-Bl</t>
        </is>
      </c>
    </row>
    <row r="19" ht="18" customHeight="1">
      <c r="B19" s="15" t="inlineStr">
        <is>
          <t xml:space="preserve">  → decoded</t>
        </is>
      </c>
      <c r="C19" s="11" t="inlineStr">
        <is>
          <t>29 Apr · A2 · Artsy Playful · Text Top · Sacred Saffron · Lit Diya · 1 accent prop · Balanced intensity</t>
        </is>
      </c>
    </row>
    <row r="20" ht="18" customHeight="1">
      <c r="B20" s="15" t="inlineStr">
        <is>
          <t>B1 example</t>
        </is>
      </c>
      <c r="C20" s="11" t="inlineStr">
        <is>
          <t>2904-B1O2-E-L1-SCC-M1-Lt-Me</t>
        </is>
      </c>
    </row>
    <row r="21" ht="18" customHeight="1">
      <c r="B21" s="15" t="inlineStr">
        <is>
          <t xml:space="preserve">  → decoded</t>
        </is>
      </c>
      <c r="C21" s="11" t="inlineStr">
        <is>
          <t>29 Apr · B1 Gradient-Top overlay · Soft &amp; Warm · Text Top · Steaming Chai Cup · Golden Warm mood · Light overlay · Medium intensity</t>
        </is>
      </c>
    </row>
    <row r="22" ht="18" customHeight="1">
      <c r="B22" s="15" t="inlineStr">
        <is>
          <t>ARCH+STEP2 codes</t>
        </is>
      </c>
      <c r="C22" s="11" t="inlineStr">
        <is>
          <t>A1F1–F5 | A2 (no step2 ID) | B1O1–O5</t>
        </is>
      </c>
    </row>
    <row r="23" ht="18" customHeight="1">
      <c r="B23" s="15" t="inlineStr">
        <is>
          <t>TRACK codes</t>
        </is>
      </c>
      <c r="C23" s="11" t="inlineStr">
        <is>
          <t>A=Shiny Maximal  B=Modern Desi  C=Minimalist  D=Artsy Playful  E=Soft &amp; Warm</t>
        </is>
      </c>
    </row>
    <row r="24" ht="18" customHeight="1">
      <c r="B24" s="15" t="inlineStr">
        <is>
          <t>INTENSITY abbr</t>
        </is>
      </c>
      <c r="C24" s="11" t="inlineStr">
        <is>
          <t>Ba=Basic  Me/Bl=Medium/Balanced  Co/Ex/Mx/Ri=Complex variants  Mn=Minimal</t>
        </is>
      </c>
    </row>
    <row r="25" ht="18" customHeight="1">
      <c r="B25" s="15" t="inlineStr">
        <is>
          <t>FRAME DECO abbr</t>
        </is>
      </c>
      <c r="C25" s="11" t="inlineStr">
        <is>
          <t>Pl=Plain  Si=Simple  Dt=Detailed</t>
        </is>
      </c>
    </row>
    <row r="26" ht="18" customHeight="1">
      <c r="B26" s="15" t="inlineStr">
        <is>
          <t>ILLUS SIZE abbr</t>
        </is>
      </c>
      <c r="C26" s="11" t="inlineStr">
        <is>
          <t>Sm=Small  Md=Medium  Lg=Large</t>
        </is>
      </c>
    </row>
    <row r="27" ht="18" customHeight="1">
      <c r="B27" s="15" t="inlineStr">
        <is>
          <t>MOOD abbr (B1)</t>
        </is>
      </c>
      <c r="C27" s="11" t="inlineStr">
        <is>
          <t>M1=Golden Warm  M2=Misty Soft  M3=Bright &amp; Vivid  M4=Dramatic Rays  M5=Vintage Film  M6=Soft Pastel</t>
        </is>
      </c>
    </row>
    <row r="28" ht="18" customHeight="1">
      <c r="B28" s="15" t="inlineStr">
        <is>
          <t>OVERLAY STR (B1)</t>
        </is>
      </c>
      <c r="C28" s="11" t="inlineStr">
        <is>
          <t>Lt=Light  Hv=Heavy</t>
        </is>
      </c>
    </row>
    <row r="29" ht="18" customHeight="1">
      <c r="B29" s="15" t="inlineStr">
        <is>
          <t>ILLUS abbr</t>
        </is>
      </c>
      <c r="C29" s="11" t="inlineStr">
        <is>
          <t>First letter of each word in illustration name, uppercase, max 4 chars</t>
        </is>
      </c>
    </row>
    <row r="30"/>
    <row r="31" ht="22" customHeight="1">
      <c r="B31" s="17" t="inlineStr">
        <is>
          <t>📊 SCORING GUIDE — PART B</t>
        </is>
      </c>
    </row>
    <row r="32" ht="18" customHeight="1">
      <c r="B32" s="15" t="inlineStr">
        <is>
          <t>① Overall Score (1–5)</t>
        </is>
      </c>
      <c r="C32" s="11" t="inlineStr">
        <is>
          <t>1=Unusable (major failure)  2=Poor (needs significant rework)  3=Decent (usable with tweaks)  4=Good (minor issues)  5=Ship it (production ready)</t>
        </is>
      </c>
    </row>
    <row r="33" ht="18" customHeight="1">
      <c r="B33" s="15" t="inlineStr">
        <is>
          <t>② Main Element (Y/P/N)</t>
        </is>
      </c>
      <c r="C33" s="11" t="inlineStr">
        <is>
          <t>Y=Clearly visible and well-rendered  P=Partial (distorted/blurry/partially wrong)  N=Missing entirely</t>
        </is>
      </c>
    </row>
    <row r="34" ht="18" customHeight="1">
      <c r="B34" s="15" t="inlineStr">
        <is>
          <t>② Supporting (Y/P/N)</t>
        </is>
      </c>
      <c r="C34" s="11" t="inlineStr">
        <is>
          <t>Same scale. Mark N/A as N if no supporting elements were selected.</t>
        </is>
      </c>
    </row>
    <row r="35" ht="18" customHeight="1">
      <c r="B35" s="15" t="inlineStr">
        <is>
          <t>② Track Style (Y/N)</t>
        </is>
      </c>
      <c r="C35" s="11" t="inlineStr">
        <is>
          <t>Does the overall aesthetic feel match the selected track? (e.g. Modern Desi = muted earthy editorial)</t>
        </is>
      </c>
    </row>
    <row r="36" ht="18" customHeight="1">
      <c r="B36" s="15" t="inlineStr">
        <is>
          <t>② Mood/Light (Y/N)</t>
        </is>
      </c>
      <c r="C36" s="11" t="inlineStr">
        <is>
          <t>Does the lighting + colour grading match the mood selection? (B1 primary; A1/A2 = colour palette match)</t>
        </is>
      </c>
    </row>
    <row r="37" ht="18" customHeight="1">
      <c r="B37" s="15" t="inlineStr">
        <is>
          <t>② Text Zone (Y/N)</t>
        </is>
      </c>
      <c r="C37" s="11" t="inlineStr">
        <is>
          <t>Is there a visually clear, uncluttered area suitable for text overlay in the expected position?</t>
        </is>
      </c>
    </row>
    <row r="38" ht="18" customHeight="1">
      <c r="B38" s="15" t="inlineStr">
        <is>
          <t>③ Colour Harmony (1–5)</t>
        </is>
      </c>
      <c r="C38" s="11" t="inlineStr">
        <is>
          <t>1=Colours clash badly  2=Somewhat off  3=Acceptable  4=Good harmony  5=Beautiful, cohesive palette</t>
        </is>
      </c>
    </row>
    <row r="39" ht="18" customHeight="1">
      <c r="B39" s="15" t="inlineStr">
        <is>
          <t>③ WhatsApp-Ready (Y/N)</t>
        </is>
      </c>
      <c r="C39" s="11" t="inlineStr">
        <is>
          <t>Honest gut check: would a real Indian WhatsApp user forward this as a Good Morning greeting?</t>
        </is>
      </c>
    </row>
    <row r="40" ht="18" customHeight="1">
      <c r="B40" s="15" t="inlineStr">
        <is>
          <t>④ Failure Tag</t>
        </is>
      </c>
      <c r="C40" s="11" t="inlineStr">
        <is>
          <t>Select the PRIMARY reason for failure (or None). Use Notes for more detail.</t>
        </is>
      </c>
    </row>
    <row r="41" ht="18" customHeight="1">
      <c r="B41" s="15" t="inlineStr">
        <is>
          <t>⑤ Notes</t>
        </is>
      </c>
      <c r="C41" s="11" t="inlineStr">
        <is>
          <t>Free text. What specifically went wrong? Any prompt tweak ideas? What worked well?</t>
        </is>
      </c>
    </row>
    <row r="42"/>
    <row r="43" ht="22" customHeight="1">
      <c r="B43" s="18" t="inlineStr">
        <is>
          <t>💡 TIPS FOR QA EFFICIENCY</t>
        </is>
      </c>
    </row>
    <row r="44" ht="18" customHeight="1">
      <c r="B44" s="15" t="inlineStr">
        <is>
          <t>Batch testing</t>
        </is>
      </c>
      <c r="C44" s="11" t="inlineStr">
        <is>
          <t>Test all 5 platforms for one combo before moving to the next. Paste same row 5 times, change col D.</t>
        </is>
      </c>
    </row>
    <row r="45" ht="18" customHeight="1">
      <c r="B45" s="15" t="inlineStr">
        <is>
          <t>Filter by archetype</t>
        </is>
      </c>
      <c r="C45" s="11" t="inlineStr">
        <is>
          <t>Use col E (Archetype) filter to compare A1 vs A2 vs B1 results separately.</t>
        </is>
      </c>
    </row>
    <row r="46" ht="18" customHeight="1">
      <c r="B46" s="15" t="inlineStr">
        <is>
          <t>Sort by score</t>
        </is>
      </c>
      <c r="C46" s="11" t="inlineStr">
        <is>
          <t>Sort col AA (Overall Score) ascending to find worst combos fast.</t>
        </is>
      </c>
    </row>
    <row r="47" ht="18" customHeight="1">
      <c r="B47" s="15" t="inlineStr">
        <is>
          <t>Filter by Failure Tag</t>
        </is>
      </c>
      <c r="C47" s="11" t="inlineStr">
        <is>
          <t>Filter col AI to group systemic issues (e.g. all "Text zone blocked" rows).</t>
        </is>
      </c>
    </row>
    <row r="48" ht="18" customHeight="1">
      <c r="B48" s="15" t="inlineStr">
        <is>
          <t>AI eval tip</t>
        </is>
      </c>
      <c r="C48" s="11" t="inlineStr">
        <is>
          <t>In Gemini / Claude / ChatGPT: paste the AI Eval Prompt (col Y) as text, then attach the image in the SAME message. If you tested Midjourney/Leonardo/Gemini, swap the embedded Firefly prompt with the relevant prompt from cols U/V/W/X before sending.</t>
        </is>
      </c>
    </row>
    <row r="49" ht="18" customHeight="1">
      <c r="B49" s="15" t="inlineStr">
        <is>
          <t>One row = one test</t>
        </is>
      </c>
      <c r="C49" s="11" t="inlineStr">
        <is>
          <t>Same wizard selections + different platform = different row. This lets you compare platform performance.</t>
        </is>
      </c>
    </row>
  </sheetData>
  <mergeCells count="5">
    <mergeCell ref="B2:C2"/>
    <mergeCell ref="B14:C14"/>
    <mergeCell ref="B31:C31"/>
    <mergeCell ref="B4:C4"/>
    <mergeCell ref="B43:C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/>
    <row r="2" ht="24" customHeight="1">
      <c r="B2" s="13" t="inlineStr">
        <is>
          <t>📊  Prompt Eval Dashboard</t>
        </is>
      </c>
    </row>
    <row r="3"/>
    <row r="4" ht="24" customHeight="1">
      <c r="B4" s="19" t="inlineStr">
        <is>
          <t>BY ARCHETYPE</t>
        </is>
      </c>
    </row>
    <row r="5" ht="16" customHeight="1">
      <c r="B5" s="20" t="inlineStr">
        <is>
          <t>Archetype</t>
        </is>
      </c>
      <c r="C5" s="20" t="inlineStr">
        <is>
          <t>Avg Score</t>
        </is>
      </c>
      <c r="D5" s="20" t="inlineStr">
        <is>
          <t>Runs</t>
        </is>
      </c>
      <c r="E5" s="20" t="inlineStr">
        <is>
          <t>WA-Ready %</t>
        </is>
      </c>
      <c r="F5" s="20" t="inlineStr">
        <is>
          <t>Main Hit %</t>
        </is>
      </c>
      <c r="G5" s="20" t="inlineStr">
        <is>
          <t>Colour Avg</t>
        </is>
      </c>
    </row>
    <row r="6" ht="16" customHeight="1">
      <c r="B6" s="21" t="inlineStr">
        <is>
          <t>A1 — Text + Frame</t>
        </is>
      </c>
      <c r="C6" s="22">
        <f>IFERROR(AVERAGEIF('Eval Data'!E$4:E$203,"A1",'Eval Data'!AA$4:AA$203),"—")</f>
        <v/>
      </c>
      <c r="D6" s="22">
        <f>COUNTIF('Eval Data'!E$4:E$203,"A1")</f>
        <v/>
      </c>
      <c r="E6" s="22">
        <f>IFERROR(COUNTIFS('Eval Data'!E$4:E$203,"A1",'Eval Data'!AH$4:AH$203,"Y")/COUNTIF('Eval Data'!E$4:E$203,"A1")*100,"—")</f>
        <v/>
      </c>
      <c r="F6" s="22">
        <f>IFERROR(COUNTIFS('Eval Data'!E$4:E$203,"A1",'Eval Data'!AB$4:AB$203,"Y")/COUNTIF('Eval Data'!E$4:E$203,"A1")*100,"—")</f>
        <v/>
      </c>
      <c r="G6" s="22">
        <f>IFERROR(AVERAGEIF('Eval Data'!E$4:E$203,"A1",'Eval Data'!AG$4:AG$203),"—")</f>
        <v/>
      </c>
    </row>
    <row r="7" ht="16" customHeight="1">
      <c r="B7" s="21" t="inlineStr">
        <is>
          <t>A2 — Illustrations</t>
        </is>
      </c>
      <c r="C7" s="22">
        <f>IFERROR(AVERAGEIF('Eval Data'!E$4:E$203,"A2",'Eval Data'!AA$4:AA$203),"—")</f>
        <v/>
      </c>
      <c r="D7" s="22">
        <f>COUNTIF('Eval Data'!E$4:E$203,"A2")</f>
        <v/>
      </c>
      <c r="E7" s="22">
        <f>IFERROR(COUNTIFS('Eval Data'!E$4:E$203,"A2",'Eval Data'!AH$4:AH$203,"Y")/COUNTIF('Eval Data'!E$4:E$203,"A2")*100,"—")</f>
        <v/>
      </c>
      <c r="F7" s="22">
        <f>IFERROR(COUNTIFS('Eval Data'!E$4:E$203,"A2",'Eval Data'!AB$4:AB$203,"Y")/COUNTIF('Eval Data'!E$4:E$203,"A2")*100,"—")</f>
        <v/>
      </c>
      <c r="G7" s="22">
        <f>IFERROR(AVERAGEIF('Eval Data'!E$4:E$203,"A2",'Eval Data'!AG$4:AG$203),"—")</f>
        <v/>
      </c>
    </row>
    <row r="8" ht="16" customHeight="1">
      <c r="B8" s="21" t="inlineStr">
        <is>
          <t>B1 — Photo BG</t>
        </is>
      </c>
      <c r="C8" s="22">
        <f>IFERROR(AVERAGEIF('Eval Data'!E$4:E$203,"B1",'Eval Data'!AA$4:AA$203),"—")</f>
        <v/>
      </c>
      <c r="D8" s="22">
        <f>COUNTIF('Eval Data'!E$4:E$203,"B1")</f>
        <v/>
      </c>
      <c r="E8" s="22">
        <f>IFERROR(COUNTIFS('Eval Data'!E$4:E$203,"B1",'Eval Data'!AH$4:AH$203,"Y")/COUNTIF('Eval Data'!E$4:E$203,"B1")*100,"—")</f>
        <v/>
      </c>
      <c r="F8" s="22">
        <f>IFERROR(COUNTIFS('Eval Data'!E$4:E$203,"B1",'Eval Data'!AB$4:AB$203,"Y")/COUNTIF('Eval Data'!E$4:E$203,"B1")*100,"—")</f>
        <v/>
      </c>
      <c r="G8" s="22">
        <f>IFERROR(AVERAGEIF('Eval Data'!E$4:E$203,"B1",'Eval Data'!AG$4:AG$203),"—")</f>
        <v/>
      </c>
    </row>
    <row r="9"/>
    <row r="10" ht="24" customHeight="1">
      <c r="B10" s="23" t="inlineStr">
        <is>
          <t>BY TRACK</t>
        </is>
      </c>
    </row>
    <row r="11" ht="16" customHeight="1">
      <c r="B11" s="20" t="inlineStr">
        <is>
          <t>Track</t>
        </is>
      </c>
      <c r="C11" s="20" t="inlineStr">
        <is>
          <t>Avg Score</t>
        </is>
      </c>
      <c r="D11" s="20" t="inlineStr">
        <is>
          <t>Runs</t>
        </is>
      </c>
      <c r="E11" s="20" t="inlineStr">
        <is>
          <t>WA-Ready %</t>
        </is>
      </c>
      <c r="F11" s="20" t="inlineStr">
        <is>
          <t>Main Hit %</t>
        </is>
      </c>
      <c r="G11" s="20" t="inlineStr">
        <is>
          <t>Colour Avg</t>
        </is>
      </c>
    </row>
    <row r="12" ht="16" customHeight="1">
      <c r="B12" s="21" t="inlineStr">
        <is>
          <t>A — Shiny Maximal</t>
        </is>
      </c>
      <c r="C12" s="22">
        <f>IFERROR(AVERAGEIF('Eval Data'!I$4:I$203,"*Shiny Maximal*",'Eval Data'!AA$4:AA$203),"—")</f>
        <v/>
      </c>
      <c r="D12" s="22">
        <f>COUNTIF('Eval Data'!I$4:I$203,"*Shiny Maximal*")</f>
        <v/>
      </c>
      <c r="E12" s="22">
        <f>IFERROR(COUNTIFS('Eval Data'!I$4:I$203,"*Shiny Maximal*",'Eval Data'!AH$4:AH$203,"Y")/COUNTIF('Eval Data'!I$4:I$203,"*Shiny Maximal*")*100,"—")</f>
        <v/>
      </c>
      <c r="F12" s="22">
        <f>IFERROR(COUNTIFS('Eval Data'!I$4:I$203,"*Shiny Maximal*",'Eval Data'!AB$4:AB$203,"Y")/COUNTIF('Eval Data'!I$4:I$203,"*Shiny Maximal*")*100,"—")</f>
        <v/>
      </c>
      <c r="G12" s="22">
        <f>IFERROR(AVERAGEIF('Eval Data'!I$4:I$203,"*Shiny Maximal*",'Eval Data'!AG$4:AG$203),"—")</f>
        <v/>
      </c>
    </row>
    <row r="13" ht="16" customHeight="1">
      <c r="B13" s="21" t="inlineStr">
        <is>
          <t>B — Modern Desi</t>
        </is>
      </c>
      <c r="C13" s="22">
        <f>IFERROR(AVERAGEIF('Eval Data'!I$4:I$203,"*Modern Desi*",'Eval Data'!AA$4:AA$203),"—")</f>
        <v/>
      </c>
      <c r="D13" s="22">
        <f>COUNTIF('Eval Data'!I$4:I$203,"*Modern Desi*")</f>
        <v/>
      </c>
      <c r="E13" s="22">
        <f>IFERROR(COUNTIFS('Eval Data'!I$4:I$203,"*Modern Desi*",'Eval Data'!AH$4:AH$203,"Y")/COUNTIF('Eval Data'!I$4:I$203,"*Modern Desi*")*100,"—")</f>
        <v/>
      </c>
      <c r="F13" s="22">
        <f>IFERROR(COUNTIFS('Eval Data'!I$4:I$203,"*Modern Desi*",'Eval Data'!AB$4:AB$203,"Y")/COUNTIF('Eval Data'!I$4:I$203,"*Modern Desi*")*100,"—")</f>
        <v/>
      </c>
      <c r="G13" s="22">
        <f>IFERROR(AVERAGEIF('Eval Data'!I$4:I$203,"*Modern Desi*",'Eval Data'!AG$4:AG$203),"—")</f>
        <v/>
      </c>
    </row>
    <row r="14" ht="16" customHeight="1">
      <c r="B14" s="21" t="inlineStr">
        <is>
          <t>C — Minimalist Classy</t>
        </is>
      </c>
      <c r="C14" s="22">
        <f>IFERROR(AVERAGEIF('Eval Data'!I$4:I$203,"*Minimalist Classy*",'Eval Data'!AA$4:AA$203),"—")</f>
        <v/>
      </c>
      <c r="D14" s="22">
        <f>COUNTIF('Eval Data'!I$4:I$203,"*Minimalist Classy*")</f>
        <v/>
      </c>
      <c r="E14" s="22">
        <f>IFERROR(COUNTIFS('Eval Data'!I$4:I$203,"*Minimalist Classy*",'Eval Data'!AH$4:AH$203,"Y")/COUNTIF('Eval Data'!I$4:I$203,"*Minimalist Classy*")*100,"—")</f>
        <v/>
      </c>
      <c r="F14" s="22">
        <f>IFERROR(COUNTIFS('Eval Data'!I$4:I$203,"*Minimalist Classy*",'Eval Data'!AB$4:AB$203,"Y")/COUNTIF('Eval Data'!I$4:I$203,"*Minimalist Classy*")*100,"—")</f>
        <v/>
      </c>
      <c r="G14" s="22">
        <f>IFERROR(AVERAGEIF('Eval Data'!I$4:I$203,"*Minimalist Classy*",'Eval Data'!AG$4:AG$203),"—")</f>
        <v/>
      </c>
    </row>
    <row r="15" ht="16" customHeight="1">
      <c r="B15" s="21" t="inlineStr">
        <is>
          <t>D — Artsy Playful</t>
        </is>
      </c>
      <c r="C15" s="22">
        <f>IFERROR(AVERAGEIF('Eval Data'!I$4:I$203,"*Artsy Playful*",'Eval Data'!AA$4:AA$203),"—")</f>
        <v/>
      </c>
      <c r="D15" s="22">
        <f>COUNTIF('Eval Data'!I$4:I$203,"*Artsy Playful*")</f>
        <v/>
      </c>
      <c r="E15" s="22">
        <f>IFERROR(COUNTIFS('Eval Data'!I$4:I$203,"*Artsy Playful*",'Eval Data'!AH$4:AH$203,"Y")/COUNTIF('Eval Data'!I$4:I$203,"*Artsy Playful*")*100,"—")</f>
        <v/>
      </c>
      <c r="F15" s="22">
        <f>IFERROR(COUNTIFS('Eval Data'!I$4:I$203,"*Artsy Playful*",'Eval Data'!AB$4:AB$203,"Y")/COUNTIF('Eval Data'!I$4:I$203,"*Artsy Playful*")*100,"—")</f>
        <v/>
      </c>
      <c r="G15" s="22">
        <f>IFERROR(AVERAGEIF('Eval Data'!I$4:I$203,"*Artsy Playful*",'Eval Data'!AG$4:AG$203),"—")</f>
        <v/>
      </c>
    </row>
    <row r="16" ht="16" customHeight="1">
      <c r="B16" s="21" t="inlineStr">
        <is>
          <t>E — Soft &amp; Warm</t>
        </is>
      </c>
      <c r="C16" s="22">
        <f>IFERROR(AVERAGEIF('Eval Data'!I$4:I$203,"*Soft &amp; Warm*",'Eval Data'!AA$4:AA$203),"—")</f>
        <v/>
      </c>
      <c r="D16" s="22">
        <f>COUNTIF('Eval Data'!I$4:I$203,"*Soft &amp; Warm*")</f>
        <v/>
      </c>
      <c r="E16" s="22">
        <f>IFERROR(COUNTIFS('Eval Data'!I$4:I$203,"*Soft &amp; Warm*",'Eval Data'!AH$4:AH$203,"Y")/COUNTIF('Eval Data'!I$4:I$203,"*Soft &amp; Warm*")*100,"—")</f>
        <v/>
      </c>
      <c r="F16" s="22">
        <f>IFERROR(COUNTIFS('Eval Data'!I$4:I$203,"*Soft &amp; Warm*",'Eval Data'!AB$4:AB$203,"Y")/COUNTIF('Eval Data'!I$4:I$203,"*Soft &amp; Warm*")*100,"—")</f>
        <v/>
      </c>
      <c r="G16" s="22">
        <f>IFERROR(AVERAGEIF('Eval Data'!I$4:I$203,"*Soft &amp; Warm*",'Eval Data'!AG$4:AG$203),"—")</f>
        <v/>
      </c>
    </row>
    <row r="17"/>
    <row r="18" ht="24" customHeight="1">
      <c r="B18" s="24" t="inlineStr">
        <is>
          <t>BY PLATFORM</t>
        </is>
      </c>
    </row>
    <row r="19" ht="16" customHeight="1">
      <c r="B19" s="20" t="inlineStr">
        <is>
          <t>Platform</t>
        </is>
      </c>
      <c r="C19" s="20" t="inlineStr">
        <is>
          <t>Avg Score</t>
        </is>
      </c>
      <c r="D19" s="20" t="inlineStr">
        <is>
          <t>Runs</t>
        </is>
      </c>
      <c r="E19" s="20" t="inlineStr">
        <is>
          <t>WA-Ready %</t>
        </is>
      </c>
      <c r="F19" s="20" t="inlineStr">
        <is>
          <t>Main Hit %</t>
        </is>
      </c>
      <c r="G19" s="20" t="inlineStr">
        <is>
          <t>Colour Avg</t>
        </is>
      </c>
    </row>
    <row r="20" ht="16" customHeight="1">
      <c r="B20" s="21" t="inlineStr">
        <is>
          <t>Midjourney</t>
        </is>
      </c>
      <c r="C20" s="22">
        <f>IFERROR(AVERAGEIF('Eval Data'!D$4:D$203,"*Midjourney*",'Eval Data'!AA$4:AA$203),"—")</f>
        <v/>
      </c>
      <c r="D20" s="22">
        <f>COUNTIF('Eval Data'!D$4:D$203,"*Midjourney*")</f>
        <v/>
      </c>
      <c r="E20" s="22">
        <f>IFERROR(COUNTIFS('Eval Data'!D$4:D$203,"*Midjourney*",'Eval Data'!AH$4:AH$203,"Y")/COUNTIF('Eval Data'!D$4:D$203,"*Midjourney*")*100,"—")</f>
        <v/>
      </c>
      <c r="F20" s="22">
        <f>IFERROR(COUNTIFS('Eval Data'!D$4:D$203,"*Midjourney*",'Eval Data'!AB$4:AB$203,"Y")/COUNTIF('Eval Data'!D$4:D$203,"*Midjourney*")*100,"—")</f>
        <v/>
      </c>
      <c r="G20" s="22">
        <f>IFERROR(AVERAGEIF('Eval Data'!D$4:D$203,"*Midjourney*",'Eval Data'!AG$4:AG$203),"—")</f>
        <v/>
      </c>
    </row>
    <row r="21" ht="16" customHeight="1">
      <c r="B21" s="21" t="inlineStr">
        <is>
          <t>Leonardo.AI</t>
        </is>
      </c>
      <c r="C21" s="22">
        <f>IFERROR(AVERAGEIF('Eval Data'!D$4:D$203,"*Leonardo.AI*",'Eval Data'!AA$4:AA$203),"—")</f>
        <v/>
      </c>
      <c r="D21" s="22">
        <f>COUNTIF('Eval Data'!D$4:D$203,"*Leonardo.AI*")</f>
        <v/>
      </c>
      <c r="E21" s="22">
        <f>IFERROR(COUNTIFS('Eval Data'!D$4:D$203,"*Leonardo.AI*",'Eval Data'!AH$4:AH$203,"Y")/COUNTIF('Eval Data'!D$4:D$203,"*Leonardo.AI*")*100,"—")</f>
        <v/>
      </c>
      <c r="F21" s="22">
        <f>IFERROR(COUNTIFS('Eval Data'!D$4:D$203,"*Leonardo.AI*",'Eval Data'!AB$4:AB$203,"Y")/COUNTIF('Eval Data'!D$4:D$203,"*Leonardo.AI*")*100,"—")</f>
        <v/>
      </c>
      <c r="G21" s="22">
        <f>IFERROR(AVERAGEIF('Eval Data'!D$4:D$203,"*Leonardo.AI*",'Eval Data'!AG$4:AG$203),"—")</f>
        <v/>
      </c>
    </row>
    <row r="22" ht="16" customHeight="1">
      <c r="B22" s="21" t="inlineStr">
        <is>
          <t>Adobe Firefly (w/ Text)</t>
        </is>
      </c>
      <c r="C22" s="22">
        <f>IFERROR(AVERAGEIF('Eval Data'!D$4:D$203,"*Adobe Firefly (Text)*",'Eval Data'!AA$4:AA$203),"—")</f>
        <v/>
      </c>
      <c r="D22" s="22">
        <f>COUNTIF('Eval Data'!D$4:D$203,"*Adobe Firefly (Text)*")</f>
        <v/>
      </c>
      <c r="E22" s="22">
        <f>IFERROR(COUNTIFS('Eval Data'!D$4:D$203,"*Adobe Firefly (Text)*",'Eval Data'!AH$4:AH$203,"Y")/COUNTIF('Eval Data'!D$4:D$203,"*Adobe Firefly (Text)*")*100,"—")</f>
        <v/>
      </c>
      <c r="F22" s="22">
        <f>IFERROR(COUNTIFS('Eval Data'!D$4:D$203,"*Adobe Firefly (Text)*",'Eval Data'!AB$4:AB$203,"Y")/COUNTIF('Eval Data'!D$4:D$203,"*Adobe Firefly (Text)*")*100,"—")</f>
        <v/>
      </c>
      <c r="G22" s="22">
        <f>IFERROR(AVERAGEIF('Eval Data'!D$4:D$203,"*Adobe Firefly (Text)*",'Eval Data'!AG$4:AG$203),"—")</f>
        <v/>
      </c>
    </row>
    <row r="23" ht="16" customHeight="1">
      <c r="B23" s="21" t="inlineStr">
        <is>
          <t>Adobe Firefly (No Text)</t>
        </is>
      </c>
      <c r="C23" s="22">
        <f>IFERROR(AVERAGEIF('Eval Data'!D$4:D$203,"*Adobe Firefly (No Text)*",'Eval Data'!AA$4:AA$203),"—")</f>
        <v/>
      </c>
      <c r="D23" s="22">
        <f>COUNTIF('Eval Data'!D$4:D$203,"*Adobe Firefly (No Text)*")</f>
        <v/>
      </c>
      <c r="E23" s="22">
        <f>IFERROR(COUNTIFS('Eval Data'!D$4:D$203,"*Adobe Firefly (No Text)*",'Eval Data'!AH$4:AH$203,"Y")/COUNTIF('Eval Data'!D$4:D$203,"*Adobe Firefly (No Text)*")*100,"—")</f>
        <v/>
      </c>
      <c r="F23" s="22">
        <f>IFERROR(COUNTIFS('Eval Data'!D$4:D$203,"*Adobe Firefly (No Text)*",'Eval Data'!AB$4:AB$203,"Y")/COUNTIF('Eval Data'!D$4:D$203,"*Adobe Firefly (No Text)*")*100,"—")</f>
        <v/>
      </c>
      <c r="G23" s="22">
        <f>IFERROR(AVERAGEIF('Eval Data'!D$4:D$203,"*Adobe Firefly (No Text)*",'Eval Data'!AG$4:AG$203),"—")</f>
        <v/>
      </c>
    </row>
    <row r="24" ht="16" customHeight="1">
      <c r="B24" s="21" t="inlineStr">
        <is>
          <t>Google Gemini</t>
        </is>
      </c>
      <c r="C24" s="22">
        <f>IFERROR(AVERAGEIF('Eval Data'!D$4:D$203,"*Google Gemini*",'Eval Data'!AA$4:AA$203),"—")</f>
        <v/>
      </c>
      <c r="D24" s="22">
        <f>COUNTIF('Eval Data'!D$4:D$203,"*Google Gemini*")</f>
        <v/>
      </c>
      <c r="E24" s="22">
        <f>IFERROR(COUNTIFS('Eval Data'!D$4:D$203,"*Google Gemini*",'Eval Data'!AH$4:AH$203,"Y")/COUNTIF('Eval Data'!D$4:D$203,"*Google Gemini*")*100,"—")</f>
        <v/>
      </c>
      <c r="F24" s="22">
        <f>IFERROR(COUNTIFS('Eval Data'!D$4:D$203,"*Google Gemini*",'Eval Data'!AB$4:AB$203,"Y")/COUNTIF('Eval Data'!D$4:D$203,"*Google Gemini*")*100,"—")</f>
        <v/>
      </c>
      <c r="G24" s="22">
        <f>IFERROR(AVERAGEIF('Eval Data'!D$4:D$203,"*Google Gemini*",'Eval Data'!AG$4:AG$203),"—")</f>
        <v/>
      </c>
    </row>
    <row r="25"/>
    <row r="26" ht="24" customHeight="1">
      <c r="B26" s="25" t="inlineStr">
        <is>
          <t>BY MOOD — B1 ONLY</t>
        </is>
      </c>
    </row>
    <row r="27" ht="16" customHeight="1">
      <c r="B27" s="20" t="inlineStr">
        <is>
          <t>Mood</t>
        </is>
      </c>
      <c r="C27" s="20" t="inlineStr">
        <is>
          <t>Avg Score</t>
        </is>
      </c>
      <c r="D27" s="20" t="inlineStr">
        <is>
          <t>Runs</t>
        </is>
      </c>
      <c r="E27" s="20" t="inlineStr">
        <is>
          <t>WA-Ready %</t>
        </is>
      </c>
      <c r="F27" s="20" t="inlineStr">
        <is>
          <t>Main Hit %</t>
        </is>
      </c>
      <c r="G27" s="20" t="inlineStr"/>
    </row>
    <row r="28" ht="16" customHeight="1">
      <c r="B28" s="21" t="inlineStr">
        <is>
          <t>Golden Warm</t>
        </is>
      </c>
      <c r="C28" s="22">
        <f>IFERROR(AVERAGEIF('Eval Data'!R$4:R$203,"*Golden Warm*",'Eval Data'!AA$4:AA$203),"—")</f>
        <v/>
      </c>
      <c r="D28" s="22">
        <f>COUNTIF('Eval Data'!R$4:R$203,"*Golden Warm*")</f>
        <v/>
      </c>
      <c r="E28" s="22">
        <f>IFERROR(COUNTIFS('Eval Data'!R$4:R$203,"*Golden Warm*",'Eval Data'!AH$4:AH$203,"Y")/COUNTIF('Eval Data'!R$4:R$203,"*Golden Warm*")*100,"—")</f>
        <v/>
      </c>
      <c r="F28" s="22">
        <f>IFERROR(COUNTIFS('Eval Data'!R$4:R$203,"*Golden Warm*",'Eval Data'!AB$4:AB$203,"Y")/COUNTIF('Eval Data'!R$4:R$203,"*Golden Warm*")*100,"—")</f>
        <v/>
      </c>
      <c r="G28" s="22" t="inlineStr"/>
    </row>
    <row r="29" ht="16" customHeight="1">
      <c r="B29" s="21" t="inlineStr">
        <is>
          <t>Misty Soft</t>
        </is>
      </c>
      <c r="C29" s="22">
        <f>IFERROR(AVERAGEIF('Eval Data'!R$4:R$203,"*Misty Soft*",'Eval Data'!AA$4:AA$203),"—")</f>
        <v/>
      </c>
      <c r="D29" s="22">
        <f>COUNTIF('Eval Data'!R$4:R$203,"*Misty Soft*")</f>
        <v/>
      </c>
      <c r="E29" s="22">
        <f>IFERROR(COUNTIFS('Eval Data'!R$4:R$203,"*Misty Soft*",'Eval Data'!AH$4:AH$203,"Y")/COUNTIF('Eval Data'!R$4:R$203,"*Misty Soft*")*100,"—")</f>
        <v/>
      </c>
      <c r="F29" s="22">
        <f>IFERROR(COUNTIFS('Eval Data'!R$4:R$203,"*Misty Soft*",'Eval Data'!AB$4:AB$203,"Y")/COUNTIF('Eval Data'!R$4:R$203,"*Misty Soft*")*100,"—")</f>
        <v/>
      </c>
      <c r="G29" s="22" t="inlineStr"/>
    </row>
    <row r="30" ht="16" customHeight="1">
      <c r="B30" s="21" t="inlineStr">
        <is>
          <t>Bright &amp; Vivid</t>
        </is>
      </c>
      <c r="C30" s="22">
        <f>IFERROR(AVERAGEIF('Eval Data'!R$4:R$203,"*Bright &amp; Vivid*",'Eval Data'!AA$4:AA$203),"—")</f>
        <v/>
      </c>
      <c r="D30" s="22">
        <f>COUNTIF('Eval Data'!R$4:R$203,"*Bright &amp; Vivid*")</f>
        <v/>
      </c>
      <c r="E30" s="22">
        <f>IFERROR(COUNTIFS('Eval Data'!R$4:R$203,"*Bright &amp; Vivid*",'Eval Data'!AH$4:AH$203,"Y")/COUNTIF('Eval Data'!R$4:R$203,"*Bright &amp; Vivid*")*100,"—")</f>
        <v/>
      </c>
      <c r="F30" s="22">
        <f>IFERROR(COUNTIFS('Eval Data'!R$4:R$203,"*Bright &amp; Vivid*",'Eval Data'!AB$4:AB$203,"Y")/COUNTIF('Eval Data'!R$4:R$203,"*Bright &amp; Vivid*")*100,"—")</f>
        <v/>
      </c>
      <c r="G30" s="22" t="inlineStr"/>
    </row>
    <row r="31" ht="16" customHeight="1">
      <c r="B31" s="21" t="inlineStr">
        <is>
          <t>Dramatic Rays</t>
        </is>
      </c>
      <c r="C31" s="22">
        <f>IFERROR(AVERAGEIF('Eval Data'!R$4:R$203,"*Dramatic Rays*",'Eval Data'!AA$4:AA$203),"—")</f>
        <v/>
      </c>
      <c r="D31" s="22">
        <f>COUNTIF('Eval Data'!R$4:R$203,"*Dramatic Rays*")</f>
        <v/>
      </c>
      <c r="E31" s="22">
        <f>IFERROR(COUNTIFS('Eval Data'!R$4:R$203,"*Dramatic Rays*",'Eval Data'!AH$4:AH$203,"Y")/COUNTIF('Eval Data'!R$4:R$203,"*Dramatic Rays*")*100,"—")</f>
        <v/>
      </c>
      <c r="F31" s="22">
        <f>IFERROR(COUNTIFS('Eval Data'!R$4:R$203,"*Dramatic Rays*",'Eval Data'!AB$4:AB$203,"Y")/COUNTIF('Eval Data'!R$4:R$203,"*Dramatic Rays*")*100,"—")</f>
        <v/>
      </c>
      <c r="G31" s="22" t="inlineStr"/>
    </row>
    <row r="32" ht="16" customHeight="1">
      <c r="B32" s="21" t="inlineStr">
        <is>
          <t>Vintage Film</t>
        </is>
      </c>
      <c r="C32" s="22">
        <f>IFERROR(AVERAGEIF('Eval Data'!R$4:R$203,"*Vintage Film*",'Eval Data'!AA$4:AA$203),"—")</f>
        <v/>
      </c>
      <c r="D32" s="22">
        <f>COUNTIF('Eval Data'!R$4:R$203,"*Vintage Film*")</f>
        <v/>
      </c>
      <c r="E32" s="22">
        <f>IFERROR(COUNTIFS('Eval Data'!R$4:R$203,"*Vintage Film*",'Eval Data'!AH$4:AH$203,"Y")/COUNTIF('Eval Data'!R$4:R$203,"*Vintage Film*")*100,"—")</f>
        <v/>
      </c>
      <c r="F32" s="22">
        <f>IFERROR(COUNTIFS('Eval Data'!R$4:R$203,"*Vintage Film*",'Eval Data'!AB$4:AB$203,"Y")/COUNTIF('Eval Data'!R$4:R$203,"*Vintage Film*")*100,"—")</f>
        <v/>
      </c>
      <c r="G32" s="22" t="inlineStr"/>
    </row>
    <row r="33" ht="16" customHeight="1">
      <c r="B33" s="21" t="inlineStr">
        <is>
          <t>Soft Pastel</t>
        </is>
      </c>
      <c r="C33" s="22">
        <f>IFERROR(AVERAGEIF('Eval Data'!R$4:R$203,"*Soft Pastel*",'Eval Data'!AA$4:AA$203),"—")</f>
        <v/>
      </c>
      <c r="D33" s="22">
        <f>COUNTIF('Eval Data'!R$4:R$203,"*Soft Pastel*")</f>
        <v/>
      </c>
      <c r="E33" s="22">
        <f>IFERROR(COUNTIFS('Eval Data'!R$4:R$203,"*Soft Pastel*",'Eval Data'!AH$4:AH$203,"Y")/COUNTIF('Eval Data'!R$4:R$203,"*Soft Pastel*")*100,"—")</f>
        <v/>
      </c>
      <c r="F33" s="22">
        <f>IFERROR(COUNTIFS('Eval Data'!R$4:R$203,"*Soft Pastel*",'Eval Data'!AB$4:AB$203,"Y")/COUNTIF('Eval Data'!R$4:R$203,"*Soft Pastel*")*100,"—")</f>
        <v/>
      </c>
      <c r="G33" s="22" t="inlineStr"/>
    </row>
    <row r="34"/>
    <row r="35" ht="24" customHeight="1">
      <c r="B35" s="26" t="inlineStr">
        <is>
          <t>TOP FAILURE TAGS (counts)</t>
        </is>
      </c>
    </row>
    <row r="36" ht="16" customHeight="1">
      <c r="B36" s="20" t="inlineStr">
        <is>
          <t>Failure Tag</t>
        </is>
      </c>
      <c r="C36" s="20" t="inlineStr">
        <is>
          <t>Count</t>
        </is>
      </c>
      <c r="D36" s="20" t="inlineStr"/>
      <c r="E36" s="20" t="inlineStr"/>
      <c r="F36" s="20" t="inlineStr"/>
      <c r="G36" s="20" t="inlineStr"/>
    </row>
    <row r="37" ht="16" customHeight="1">
      <c r="B37" s="21" t="inlineStr">
        <is>
          <t>Missing main element</t>
        </is>
      </c>
      <c r="C37" s="22">
        <f>COUNTIF('Eval Data'!AI$4:AI$203,"*Missing main element*")</f>
        <v/>
      </c>
      <c r="D37" s="22" t="inlineStr"/>
      <c r="E37" s="22" t="inlineStr"/>
      <c r="F37" s="22" t="inlineStr"/>
      <c r="G37" s="22" t="inlineStr"/>
    </row>
    <row r="38" ht="16" customHeight="1">
      <c r="B38" s="21" t="inlineStr">
        <is>
          <t>Supporting element missing</t>
        </is>
      </c>
      <c r="C38" s="22">
        <f>COUNTIF('Eval Data'!AI$4:AI$203,"*Supporting element missing*")</f>
        <v/>
      </c>
      <c r="D38" s="22" t="inlineStr"/>
      <c r="E38" s="22" t="inlineStr"/>
      <c r="F38" s="22" t="inlineStr"/>
      <c r="G38" s="22" t="inlineStr"/>
    </row>
    <row r="39" ht="16" customHeight="1">
      <c r="B39" s="21" t="inlineStr">
        <is>
          <t>Wrong track style</t>
        </is>
      </c>
      <c r="C39" s="22">
        <f>COUNTIF('Eval Data'!AI$4:AI$203,"*Wrong track style*")</f>
        <v/>
      </c>
      <c r="D39" s="22" t="inlineStr"/>
      <c r="E39" s="22" t="inlineStr"/>
      <c r="F39" s="22" t="inlineStr"/>
      <c r="G39" s="22" t="inlineStr"/>
    </row>
    <row r="40" ht="16" customHeight="1">
      <c r="B40" s="21" t="inlineStr">
        <is>
          <t>Colour mismatch</t>
        </is>
      </c>
      <c r="C40" s="22">
        <f>COUNTIF('Eval Data'!AI$4:AI$203,"*Colour mismatch*")</f>
        <v/>
      </c>
      <c r="D40" s="22" t="inlineStr"/>
      <c r="E40" s="22" t="inlineStr"/>
      <c r="F40" s="22" t="inlineStr"/>
      <c r="G40" s="22" t="inlineStr"/>
    </row>
    <row r="41" ht="16" customHeight="1">
      <c r="B41" s="21" t="inlineStr">
        <is>
          <t>Text zone blocked</t>
        </is>
      </c>
      <c r="C41" s="22">
        <f>COUNTIF('Eval Data'!AI$4:AI$203,"*Text zone blocked*")</f>
        <v/>
      </c>
      <c r="D41" s="22" t="inlineStr"/>
      <c r="E41" s="22" t="inlineStr"/>
      <c r="F41" s="22" t="inlineStr"/>
      <c r="G41" s="22" t="inlineStr"/>
    </row>
    <row r="42" ht="16" customHeight="1">
      <c r="B42" s="21" t="inlineStr">
        <is>
          <t>Frame structure wrong</t>
        </is>
      </c>
      <c r="C42" s="22">
        <f>COUNTIF('Eval Data'!AI$4:AI$203,"*Frame structure wrong*")</f>
        <v/>
      </c>
      <c r="D42" s="22" t="inlineStr"/>
      <c r="E42" s="22" t="inlineStr"/>
      <c r="F42" s="22" t="inlineStr"/>
      <c r="G42" s="22" t="inlineStr"/>
    </row>
    <row r="43" ht="16" customHeight="1">
      <c r="B43" s="21" t="inlineStr">
        <is>
          <t>Illustration size wrong</t>
        </is>
      </c>
      <c r="C43" s="22">
        <f>COUNTIF('Eval Data'!AI$4:AI$203,"*Illustration size wrong*")</f>
        <v/>
      </c>
      <c r="D43" s="22" t="inlineStr"/>
      <c r="E43" s="22" t="inlineStr"/>
      <c r="F43" s="22" t="inlineStr"/>
      <c r="G43" s="22" t="inlineStr"/>
    </row>
    <row r="44" ht="16" customHeight="1">
      <c r="B44" s="21" t="inlineStr">
        <is>
          <t>Lighting/mood mismatch</t>
        </is>
      </c>
      <c r="C44" s="22">
        <f>COUNTIF('Eval Data'!AI$4:AI$203,"*Lighting/mood mismatch*")</f>
        <v/>
      </c>
      <c r="D44" s="22" t="inlineStr"/>
      <c r="E44" s="22" t="inlineStr"/>
      <c r="F44" s="22" t="inlineStr"/>
      <c r="G44" s="22" t="inlineStr"/>
    </row>
    <row r="45" ht="16" customHeight="1">
      <c r="B45" s="21" t="inlineStr">
        <is>
          <t>Bad render style</t>
        </is>
      </c>
      <c r="C45" s="22">
        <f>COUNTIF('Eval Data'!AI$4:AI$203,"*Bad render style*")</f>
        <v/>
      </c>
      <c r="D45" s="22" t="inlineStr"/>
      <c r="E45" s="22" t="inlineStr"/>
      <c r="F45" s="22" t="inlineStr"/>
      <c r="G45" s="22" t="inlineStr"/>
    </row>
    <row r="46" ht="16" customHeight="1">
      <c r="B46" s="21" t="inlineStr">
        <is>
          <t>AI text visible</t>
        </is>
      </c>
      <c r="C46" s="22">
        <f>COUNTIF('Eval Data'!AI$4:AI$203,"*AI text visible*")</f>
        <v/>
      </c>
      <c r="D46" s="22" t="inlineStr"/>
      <c r="E46" s="22" t="inlineStr"/>
      <c r="F46" s="22" t="inlineStr"/>
      <c r="G46" s="22" t="inlineStr"/>
    </row>
    <row r="47" ht="16" customHeight="1">
      <c r="B47" s="21" t="inlineStr">
        <is>
          <t>Artifacts/distortion</t>
        </is>
      </c>
      <c r="C47" s="22">
        <f>COUNTIF('Eval Data'!AI$4:AI$203,"*Artifacts/distortion*")</f>
        <v/>
      </c>
      <c r="D47" s="22" t="inlineStr"/>
      <c r="E47" s="22" t="inlineStr"/>
      <c r="F47" s="22" t="inlineStr"/>
      <c r="G47" s="22" t="inlineStr"/>
    </row>
    <row r="48"/>
    <row r="49" ht="18" customHeight="1">
      <c r="B49" s="27" t="inlineStr">
        <is>
          <t>💡 Tip: Refresh formulas after pasting new data. Use Cmd+Shift+F9 (Mac) or Ctrl+Alt+F9 (Win).</t>
        </is>
      </c>
    </row>
  </sheetData>
  <mergeCells count="7">
    <mergeCell ref="B2:G2"/>
    <mergeCell ref="B10:G10"/>
    <mergeCell ref="B35:G35"/>
    <mergeCell ref="B4:G4"/>
    <mergeCell ref="B49:G49"/>
    <mergeCell ref="B26:G26"/>
    <mergeCell ref="B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2026-04-29T09:55:20Z</dcterms:created>
  <dcterms:modified xmlns:dcterms="http://purl.org/dc/terms/" xmlns:xsi="http://www.w3.org/2001/XMLSchema-instance" xsi:type="dcterms:W3CDTF">2026-04-29T09:55:22Z</dcterms:modified>
</cp:coreProperties>
</file>