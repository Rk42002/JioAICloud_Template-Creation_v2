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rohan.kohli/Documents/Github/9. Template Automation V2/"/>
    </mc:Choice>
  </mc:AlternateContent>
  <xr:revisionPtr revIDLastSave="0" documentId="8_{FB63DD90-4DD8-9C47-8A6F-1AB1E74AF742}" xr6:coauthVersionLast="47" xr6:coauthVersionMax="47" xr10:uidLastSave="{00000000-0000-0000-0000-000000000000}"/>
  <bookViews>
    <workbookView xWindow="0" yWindow="660" windowWidth="30240" windowHeight="17780" xr2:uid="{00000000-000D-0000-FFFF-FFFF00000000}"/>
  </bookViews>
  <sheets>
    <sheet name="Eval Data" sheetId="1" r:id="rId1"/>
    <sheet name="Instructions" sheetId="2" r:id="rId2"/>
    <sheet name="Dashboard"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3" l="1"/>
  <c r="C47" i="3"/>
  <c r="C46" i="3"/>
  <c r="C45" i="3"/>
  <c r="C44" i="3"/>
  <c r="C43" i="3"/>
  <c r="C42" i="3"/>
  <c r="C41" i="3"/>
  <c r="C40" i="3"/>
  <c r="C39" i="3"/>
  <c r="C38" i="3"/>
  <c r="C37" i="3"/>
  <c r="F33" i="3"/>
  <c r="E33" i="3"/>
  <c r="D33" i="3"/>
  <c r="C33" i="3"/>
  <c r="F32" i="3"/>
  <c r="E32" i="3"/>
  <c r="D32" i="3"/>
  <c r="C32" i="3"/>
  <c r="F31" i="3"/>
  <c r="E31" i="3"/>
  <c r="D31" i="3"/>
  <c r="C31" i="3"/>
  <c r="F30" i="3"/>
  <c r="E30" i="3"/>
  <c r="D30" i="3"/>
  <c r="C30" i="3"/>
  <c r="F29" i="3"/>
  <c r="E29" i="3"/>
  <c r="D29" i="3"/>
  <c r="C29" i="3"/>
  <c r="F28" i="3"/>
  <c r="E28" i="3"/>
  <c r="D28" i="3"/>
  <c r="C28" i="3"/>
  <c r="G24" i="3"/>
  <c r="F24" i="3"/>
  <c r="E24" i="3"/>
  <c r="D24" i="3"/>
  <c r="C24" i="3"/>
  <c r="G23" i="3"/>
  <c r="F23" i="3"/>
  <c r="E23" i="3"/>
  <c r="D23" i="3"/>
  <c r="C23" i="3"/>
  <c r="G22" i="3"/>
  <c r="F22" i="3"/>
  <c r="E22" i="3"/>
  <c r="D22" i="3"/>
  <c r="C22" i="3"/>
  <c r="G21" i="3"/>
  <c r="F21" i="3"/>
  <c r="E21" i="3"/>
  <c r="D21" i="3"/>
  <c r="C21" i="3"/>
  <c r="G20" i="3"/>
  <c r="F20" i="3"/>
  <c r="E20" i="3"/>
  <c r="D20" i="3"/>
  <c r="C20" i="3"/>
  <c r="G16" i="3"/>
  <c r="F16" i="3"/>
  <c r="E16" i="3"/>
  <c r="D16" i="3"/>
  <c r="C16" i="3"/>
  <c r="G15" i="3"/>
  <c r="F15" i="3"/>
  <c r="E15" i="3"/>
  <c r="D15" i="3"/>
  <c r="C15" i="3"/>
  <c r="G14" i="3"/>
  <c r="F14" i="3"/>
  <c r="E14" i="3"/>
  <c r="D14" i="3"/>
  <c r="C14" i="3"/>
  <c r="G13" i="3"/>
  <c r="F13" i="3"/>
  <c r="E13" i="3"/>
  <c r="D13" i="3"/>
  <c r="C13" i="3"/>
  <c r="G12" i="3"/>
  <c r="F12" i="3"/>
  <c r="E12" i="3"/>
  <c r="D12" i="3"/>
  <c r="C12" i="3"/>
  <c r="G8" i="3"/>
  <c r="F8" i="3"/>
  <c r="E8" i="3"/>
  <c r="D8" i="3"/>
  <c r="C8" i="3"/>
  <c r="G7" i="3"/>
  <c r="F7" i="3"/>
  <c r="E7" i="3"/>
  <c r="D7" i="3"/>
  <c r="C7" i="3"/>
  <c r="G6" i="3"/>
  <c r="E6" i="3"/>
  <c r="D6" i="3"/>
  <c r="C6" i="3"/>
</calcChain>
</file>

<file path=xl/sharedStrings.xml><?xml version="1.0" encoding="utf-8"?>
<sst xmlns="http://schemas.openxmlformats.org/spreadsheetml/2006/main" count="256" uniqueCount="216">
  <si>
    <t>IDENTIFICATION</t>
  </si>
  <si>
    <t>TEMPLATE STRUCTURE</t>
  </si>
  <si>
    <t>TRACK &amp; STYLE</t>
  </si>
  <si>
    <t>ILLUSTRATION / SCENE</t>
  </si>
  <si>
    <t>INTENSITY</t>
  </si>
  <si>
    <t>GENERATED PROMPTS</t>
  </si>
  <si>
    <t>GEMINI EVALUATION</t>
  </si>
  <si>
    <t>QA SCORING — PART B</t>
  </si>
  <si>
    <t>Unique Code</t>
  </si>
  <si>
    <t>Timestamp</t>
  </si>
  <si>
    <t>Evaluator</t>
  </si>
  <si>
    <t>Platform Tested</t>
  </si>
  <si>
    <t>Archetype</t>
  </si>
  <si>
    <t>Frame / Overlay Type</t>
  </si>
  <si>
    <t>Layout</t>
  </si>
  <si>
    <t>Overlay Strength (B1)</t>
  </si>
  <si>
    <t>Track</t>
  </si>
  <si>
    <t>Colour Palette</t>
  </si>
  <si>
    <t>Background Finish</t>
  </si>
  <si>
    <t>Render Style</t>
  </si>
  <si>
    <t>Illustration / Scene Main</t>
  </si>
  <si>
    <t>Illus Size (A1)</t>
  </si>
  <si>
    <t>Frame Decoration</t>
  </si>
  <si>
    <t>Motif</t>
  </si>
  <si>
    <t>Accents / Supporting</t>
  </si>
  <si>
    <t>Mood (B1)</t>
  </si>
  <si>
    <t>Intensity</t>
  </si>
  <si>
    <t>Prompt — Firefly (w/ Text)</t>
  </si>
  <si>
    <t>Prompt — Firefly (No Text)</t>
  </si>
  <si>
    <t>Prompt — Midjourney</t>
  </si>
  <si>
    <t>Prompt — Leonardo</t>
  </si>
  <si>
    <t>Prompt — Gemini</t>
  </si>
  <si>
    <t>Gemini Eval Prompt</t>
  </si>
  <si>
    <t>Gemini Response</t>
  </si>
  <si>
    <t>① Overall Score (1–5)</t>
  </si>
  <si>
    <t>② Main Element (Y/P/N)</t>
  </si>
  <si>
    <t>② Supporting (Y/P/N)</t>
  </si>
  <si>
    <t>② Track Style (Y/N)</t>
  </si>
  <si>
    <t>② Mood/Light (Y/N)</t>
  </si>
  <si>
    <t>② Text Zone (Y/N)</t>
  </si>
  <si>
    <t>③ Colour Harmony (1–5)</t>
  </si>
  <si>
    <t>③ WhatsApp-Ready (Y/N)</t>
  </si>
  <si>
    <t>④ Failure Tag</t>
  </si>
  <si>
    <t>⑤ Notes</t>
  </si>
  <si>
    <t>Auto from wizard export (DDMM-ARCH-TRACK-LAYOUT-…)</t>
  </si>
  <si>
    <t>Auto from wizard</t>
  </si>
  <si>
    <t>Your name</t>
  </si>
  <si>
    <t>Select from dropdown</t>
  </si>
  <si>
    <t>A1 / A2 / B1</t>
  </si>
  <si>
    <t>A1: F1–F5 | B1: O1–O5 | A2: —</t>
  </si>
  <si>
    <t>L1–L6</t>
  </si>
  <si>
    <t>Light / Heavy — B1 only</t>
  </si>
  <si>
    <t>A–E</t>
  </si>
  <si>
    <t>A1/A2 only</t>
  </si>
  <si>
    <t>Main illustration (A1/A2) or main scene element (B1)</t>
  </si>
  <si>
    <t>Small / Medium / Large — A1 only</t>
  </si>
  <si>
    <t>Plain / Simple / Detailed — A1/A2 only</t>
  </si>
  <si>
    <t>A2: accent count | B1: supporting scene elements</t>
  </si>
  <si>
    <t>B1 only — Golden Warm, Misty Soft, etc.</t>
  </si>
  <si>
    <t>Preset name (Basic / Medium / Complex / etc.)</t>
  </si>
  <si>
    <t>Full prompt — ≤950 chars</t>
  </si>
  <si>
    <t>Full prompt with --ar flags</t>
  </si>
  <si>
    <t>Full prompt — ≤1400 chars</t>
  </si>
  <si>
    <t>Full prompt — no char limit</t>
  </si>
  <si>
    <t>Auto from wizard — paste into Gemini with image</t>
  </si>
  <si>
    <t>← Paste Gemini's full checklist response here</t>
  </si>
  <si>
    <t>1=Unusable 2=Poor 3=OK 4=Good 5=Ship it</t>
  </si>
  <si>
    <t>Y=Yes P=Partial N=Missing</t>
  </si>
  <si>
    <t>Y=Yes P=Partial N=Missing/N/A</t>
  </si>
  <si>
    <t>Does it match the intended track?</t>
  </si>
  <si>
    <t>Lighting + colour matches selection?</t>
  </si>
  <si>
    <t>Clear uncluttered text area?</t>
  </si>
  <si>
    <t>1=Clashing 3=OK 5=Beautiful</t>
  </si>
  <si>
    <t>Would a real Indian user share this?</t>
  </si>
  <si>
    <t>Primary failure reason (select from list)</t>
  </si>
  <si>
    <t>Free text — what went wrong or right</t>
  </si>
  <si>
    <t>Prompt Evaluation Framework — Instructions v2</t>
  </si>
  <si>
    <t>📋 HOW TO USE — STEP BY STEP</t>
  </si>
  <si>
    <t>Step 1 — Generate</t>
  </si>
  <si>
    <t>Open the HTML wizard. Walk through all steps and generate prompts.</t>
  </si>
  <si>
    <t>Step 2 — Export Row</t>
  </si>
  <si>
    <t>Click 📋 Export Eval Row. Go to Eval Data tab → click cell A4 (or next empty row) → Paste (Cmd+V). All auto-fill columns populate.</t>
  </si>
  <si>
    <t>Step 3 — Platform</t>
  </si>
  <si>
    <t>Fill col D (Platform Tested) from dropdown: which AI platform you ran the prompt on.</t>
  </si>
  <si>
    <t>Step 4 — Run Prompt</t>
  </si>
  <si>
    <t>Paste the platform-specific prompt from the Excel into Midjourney / Leonardo / Firefly / Gemini. Save the generated image.</t>
  </si>
  <si>
    <t>Step 5 — Gemini Eval</t>
  </si>
  <si>
    <t>Click 🤖 Copy Gemini Eval Prompt in the wizard. Open Google Gemini → start a new chat → paste the prompt → upload the generated image → send.</t>
  </si>
  <si>
    <t>Step 6 — Paste Response</t>
  </si>
  <si>
    <t>Copy Gemini's full checklist response. Paste it into col Z (Gemini Response) for that row.</t>
  </si>
  <si>
    <t>Step 7 — Score</t>
  </si>
  <si>
    <t>Fill col AA (Overall Score 1–5) manually. Also fill element check dropdowns (cols AB–AF) and col AH (WhatsApp-Ready).</t>
  </si>
  <si>
    <t>Step 8 — Repeat</t>
  </si>
  <si>
    <t>Same combo tested on 4 platforms = 4 rows (one per platform). Paste the same row 4 times, change col D each time.</t>
  </si>
  <si>
    <t>🔑 UNIQUE CODE — FORMAT GUIDE</t>
  </si>
  <si>
    <t>Format</t>
  </si>
  <si>
    <t>DDMM-[ARCH+STEP2]-[TRACK]-[LAYOUT]-[PAL]-[ILLUS]-[EXTRAS]-[INTENSITY]</t>
  </si>
  <si>
    <t>A1 example</t>
  </si>
  <si>
    <t>2904-A1F2-B-L3-C2-SCC-Si-Md-Me</t>
  </si>
  <si>
    <t xml:space="preserve">  → decoded</t>
  </si>
  <si>
    <t>29 Apr · A1 Dual Band frame · Modern Desi · Text Left · Soft Dawn · Steaming Chai Cup · Simple deco · Medium size · Medium intensity</t>
  </si>
  <si>
    <t>A2 example</t>
  </si>
  <si>
    <t>2904-A2-D-L1-C5-LD-1ac-Bl</t>
  </si>
  <si>
    <t>29 Apr · A2 · Artsy Playful · Text Top · Sacred Saffron · Lit Diya · 1 accent prop · Balanced intensity</t>
  </si>
  <si>
    <t>B1 example</t>
  </si>
  <si>
    <t>2904-B1O2-E-L1-SCC-M1-Lt-Me</t>
  </si>
  <si>
    <t>29 Apr · B1 Gradient-Top overlay · Soft &amp; Warm · Text Top · Steaming Chai Cup · Golden Warm mood · Light overlay · Medium intensity</t>
  </si>
  <si>
    <t>ARCH+STEP2 codes</t>
  </si>
  <si>
    <t>A1F1–F5 | A2 (no step2 ID) | B1O1–O5</t>
  </si>
  <si>
    <t>TRACK codes</t>
  </si>
  <si>
    <t>A=Shiny Maximal  B=Modern Desi  C=Minimalist  D=Artsy Playful  E=Soft &amp; Warm</t>
  </si>
  <si>
    <t>INTENSITY abbr</t>
  </si>
  <si>
    <t>Ba=Basic  Me/Bl=Medium/Balanced  Co/Ex/Mx/Ri=Complex variants  Mn=Minimal</t>
  </si>
  <si>
    <t>FRAME DECO abbr</t>
  </si>
  <si>
    <t>Pl=Plain  Si=Simple  Dt=Detailed</t>
  </si>
  <si>
    <t>ILLUS SIZE abbr</t>
  </si>
  <si>
    <t>Sm=Small  Md=Medium  Lg=Large</t>
  </si>
  <si>
    <t>MOOD abbr (B1)</t>
  </si>
  <si>
    <t>M1=Golden Warm  M2=Misty Soft  M3=Bright &amp; Vivid  M4=Dramatic Rays  M5=Vintage Film  M6=Soft Pastel</t>
  </si>
  <si>
    <t>OVERLAY STR (B1)</t>
  </si>
  <si>
    <t>Lt=Light  Hv=Heavy</t>
  </si>
  <si>
    <t>ILLUS abbr</t>
  </si>
  <si>
    <t>First letter of each word in illustration name, uppercase, max 4 chars</t>
  </si>
  <si>
    <t>📊 SCORING GUIDE — PART B</t>
  </si>
  <si>
    <t>1=Unusable (major failure)  2=Poor (needs significant rework)  3=Decent (usable with tweaks)  4=Good (minor issues)  5=Ship it (production ready)</t>
  </si>
  <si>
    <t>Y=Clearly visible and well-rendered  P=Partial (distorted/blurry/partially wrong)  N=Missing entirely</t>
  </si>
  <si>
    <t>Same scale. Mark N/A as N if no supporting elements were selected.</t>
  </si>
  <si>
    <t>Does the overall aesthetic feel match the selected track? (e.g. Modern Desi = muted earthy editorial)</t>
  </si>
  <si>
    <t>Does the lighting + colour grading match the mood selection? (B1 primary; A1/A2 = colour palette match)</t>
  </si>
  <si>
    <t>Is there a visually clear, uncluttered area suitable for text overlay in the expected position?</t>
  </si>
  <si>
    <t>1=Colours clash badly  2=Somewhat off  3=Acceptable  4=Good harmony  5=Beautiful, cohesive palette</t>
  </si>
  <si>
    <t>Honest gut check: would a real Indian WhatsApp user forward this as a Good Morning greeting?</t>
  </si>
  <si>
    <t>Select the PRIMARY reason for failure (or None). Use Notes for more detail.</t>
  </si>
  <si>
    <t>Free text. What specifically went wrong? Any prompt tweak ideas? What worked well?</t>
  </si>
  <si>
    <t>💡 TIPS FOR QA EFFICIENCY</t>
  </si>
  <si>
    <t>Batch testing</t>
  </si>
  <si>
    <t>Test all 5 platforms for one combo before moving to the next. Paste same row 5 times, change col D.</t>
  </si>
  <si>
    <t>Filter by archetype</t>
  </si>
  <si>
    <t>Use col E (Archetype) filter to compare A1 vs A2 vs B1 results separately.</t>
  </si>
  <si>
    <t>Sort by score</t>
  </si>
  <si>
    <t>Sort col AA (Overall Score) ascending to find worst combos fast.</t>
  </si>
  <si>
    <t>Filter by Failure Tag</t>
  </si>
  <si>
    <t>Filter col AI to group systemic issues (e.g. all "Text zone blocked" rows).</t>
  </si>
  <si>
    <t>Gemini eval tip</t>
  </si>
  <si>
    <t>In Gemini: paste the eval prompt FIRST as text, then attach the image in the same message. Do not split into two messages.</t>
  </si>
  <si>
    <t>One row = one test</t>
  </si>
  <si>
    <t>Same wizard selections + different platform = different row. This lets you compare platform performance.</t>
  </si>
  <si>
    <t>📊  Prompt Eval Dashboard</t>
  </si>
  <si>
    <t>BY ARCHETYPE</t>
  </si>
  <si>
    <t>Avg Score</t>
  </si>
  <si>
    <t>Runs</t>
  </si>
  <si>
    <t>WA-Ready %</t>
  </si>
  <si>
    <t>Main Hit %</t>
  </si>
  <si>
    <t>Colour Avg</t>
  </si>
  <si>
    <t>A1 — Text + Frame</t>
  </si>
  <si>
    <t>A2 — Illustrations</t>
  </si>
  <si>
    <t>B1 — Photo BG</t>
  </si>
  <si>
    <t>BY TRACK</t>
  </si>
  <si>
    <t>A — Shiny Maximal</t>
  </si>
  <si>
    <t>B — Modern Desi</t>
  </si>
  <si>
    <t>C — Minimalist Classy</t>
  </si>
  <si>
    <t>D — Artsy Playful</t>
  </si>
  <si>
    <t>E — Soft &amp; Warm</t>
  </si>
  <si>
    <t>BY PLATFORM</t>
  </si>
  <si>
    <t>Platform</t>
  </si>
  <si>
    <t>Midjourney</t>
  </si>
  <si>
    <t>Leonardo.AI</t>
  </si>
  <si>
    <t>Adobe Firefly (w/ Text)</t>
  </si>
  <si>
    <t>Adobe Firefly (No Text)</t>
  </si>
  <si>
    <t>Google Gemini</t>
  </si>
  <si>
    <t>BY MOOD — B1 ONLY</t>
  </si>
  <si>
    <t>Mood</t>
  </si>
  <si>
    <t>Golden Warm</t>
  </si>
  <si>
    <t>Misty Soft</t>
  </si>
  <si>
    <t>Bright &amp; Vivid</t>
  </si>
  <si>
    <t>Dramatic Rays</t>
  </si>
  <si>
    <t>Vintage Film</t>
  </si>
  <si>
    <t>Soft Pastel</t>
  </si>
  <si>
    <t>TOP FAILURE TAGS (counts)</t>
  </si>
  <si>
    <t>Failure Tag</t>
  </si>
  <si>
    <t>Count</t>
  </si>
  <si>
    <t>Missing main element</t>
  </si>
  <si>
    <t>Supporting element missing</t>
  </si>
  <si>
    <t>Wrong track style</t>
  </si>
  <si>
    <t>Colour mismatch</t>
  </si>
  <si>
    <t>Text zone blocked</t>
  </si>
  <si>
    <t>Frame structure wrong</t>
  </si>
  <si>
    <t>Illustration size wrong</t>
  </si>
  <si>
    <t>Lighting/mood mismatch</t>
  </si>
  <si>
    <t>Bad render style</t>
  </si>
  <si>
    <t>AI text visible</t>
  </si>
  <si>
    <t>Artifacts/distortion</t>
  </si>
  <si>
    <t>💡 Tip: Refresh formulas after pasting new data. Use Cmd+Shift+F9 (Mac) or Ctrl+Alt+F9 (Win).</t>
  </si>
  <si>
    <t>RUN-MOJUQESP</t>
  </si>
  <si>
    <t>29/04/26, 2:57 pm</t>
  </si>
  <si>
    <t>B1</t>
  </si>
  <si>
    <t>light (auto from Text Centre)</t>
  </si>
  <si>
    <t>Text Centre</t>
  </si>
  <si>
    <t>Artsy Playful</t>
  </si>
  <si>
    <t>Clay Kulhad with Chai</t>
  </si>
  <si>
    <t>Biscuits on a Plate</t>
  </si>
  <si>
    <t>Medium — Balanced</t>
  </si>
  <si>
    <t>Photorealistic Bright Lifestyle Good Morning poster, 9:16 vertical, full-bleed photograph, early morning Indian setting. an earthen clay kulhad filled with milky chai as the hero subject in the foreground. golden hour lighting, warm amber sunrise glow, long dramatic side shadows. bright lifestyle blog photography, slightly overexposed airy feel, cheerful poppy colours. standard focal length. text overlay zone centred occupying the central area, subtle vignette overlay with light subtle semi-transparen. "Good Morning" text in white decorative font in the text zone, legible. DSLR quality, sharp focus.</t>
  </si>
  <si>
    <t>Photorealistic Bright Lifestyle photograph, 9:16 vertical, full-bleed, no text, no letters, no words. Early morning Indian setting. an earthen clay kulhad filled with milky chai as the hero subject in the foreground. golden hour lighting, warm amber sunrise glow, long dramatic side shadows. bright lifestyle blog photography, slightly overexposed airy feel, cheerful poppy colours. standard focal length. text overlay zone centred occupying the central area subtle overlay for text zone, vignette overlay with light subtle semi-transparen. DSLR quality, sharp focus on subject. Purely visual, no text, no letters, no typography.</t>
  </si>
  <si>
    <t>photorealistic photograph, full-bleed image filling the entire canvas, early morning Indian setting, an earthen clay kulhad filled with milky chai as the hero subject in the foreground, with a small plate of Parle-G style biscuits in the background, golden hour lighting, warm amber sunrise glow, long dramatic side shadows, soft warm directional light, warm colour grading with orange and amber tones, cozy sunrise warmth, bright lifestyle blog photography, slightly overexposed airy feel, cheerful poppy colours, clean whites, Instagram lifestyle aesthetic, standard focal length, balanced framing with scene elements at comfortable natural scale, good detail visible while maintaining environmental context, warm colour temperature 4500K, text overlay zone centred occupying the central area, vignette overlay with light subtle semi-transparent darkened edges and bright vivid centre, text-readable at centre, 9:16 portrait format, professional DSLR photography, sharp focus on subject, high dynamic range, natural bokeh where appropriate --ar 9:16 --s 250 --no text, letters, words, numbers, typography, illustration, cartoon, painting, drawing, sketch, vector, clipart, frame, border, decorative pattern, motif, ornamental, watermarks, logos, blurry, low quality, artificial, CGI, rendered, dark, moody, desaturated, muted</t>
  </si>
  <si>
    <t>Photorealistic Bright Lifestyle photograph, Good Morning poster, 9:16 vertical (1080x1920). Full-bleed photo, no frames, no borders, no illustration. Early morning Indian setting. Scene: an earthen clay kulhad filled with milky chai as the hero subject in the foreground, with a small plate of Parle-G style biscuits in the background. Mood: golden hour lighting, warm amber sunrise glow, long dramatic side shadows, soft warm directional light, warm colour grading with orange and amber tones, cozy sunrise warmth. Aesthetic: bright lifestyle blog photography, slightly overexposed airy feel, cheerful poppy colours, clean whites, Instagram lifestyle aesthetic. Camera: standard focal length, balanced framing with scene elements at comfortable natural scale, good detail visible while maintaining environmental context. Text zone: text overlay zone centred occupying the central area. Overlay: subtle light vignette overlay with light subtle semi-transparent darkened edges and bright vivid centre, text-readable at centre. Keep this area darker for white text readability. Quality: DSLR, sharp focus on subject, natural depth of field. Negative: illustration, cartoon, painting, vector, frame, border, pattern, text, watermark, blurry, low quality, CGI</t>
  </si>
  <si>
    <t>A photorealistic Bright Lifestyle style photograph for a Good Morning greeting poster in vertical 9:16 format. The image is a full-bleed photograph that fills the entire canvas — no frames, no borders, no illustration elements. The setting is early morning in India.  Scene: The photograph features an earthen clay kulhad filled with milky chai as the hero subject in the foreground, with a small plate of Parle-G style biscuits in the background. The scene should feel natural and authentic — as if captured in a real Indian morning setting, not staged or artificial.  Lighting &amp; Mood: golden hour lighting, warm amber sunrise glow, long dramatic side shadows, soft warm directional light, warm colour grading with orange and amber tones, cozy sunrise warmth. The light should feel natural and time-appropriate for early morning.  Photography Aesthetic: bright lifestyle blog photography, slightly overexposed airy feel, cheerful poppy colours, clean whites, Instagram lifestyle aesthetic.  Camera &amp; Framing: standard focal length, balanced framing with scene elements at comfortable natural scale, good detail visible while maintaining environmental context. Use natural depth of field appropriate to the focal length — sharp focus on the main subject with gentle falloff in the background.  Colour Temperature: Warm colour temperature around 4500K — amber sunrise warmth.  Composition &amp; Text Zone: The image has a subtle, light semi-transparent overlay — vignette overlay with light subtle semi-transparent darkened edges and bright vivid centre, text-readable at centre. The text overlay zone centred occupying the central area — this area should be slightly darker or muted to ensure white text overlay is legible and readable against the photograph.  Technical Quality: Professional DSLR quality, sharp focus on the main subject, high dynamic range, natural bokeh where the depth of field creates it. The image should look like it was shot by a skilled photographer, not AI-generated.  Do not include: text, letters, words, numbers, typography, illustration, cartoon, painting, drawing, sketch, vector, clipart, frame, border, decorative pattern, motif, ornamental, watermarks, logos, blurry, low quality, artificial, CGI, rendered, dark, moody, desaturated, muted.</t>
  </si>
  <si>
    <t>RUN-MOJUUUEA</t>
  </si>
  <si>
    <t>29/04/26, 3:01 pm</t>
  </si>
  <si>
    <t>Shiny Maximal</t>
  </si>
  <si>
    <t>Photorealistic HDR Saturated Good Morning poster, 9:16 vertical, full-bleed photograph, early morning Indian setting. an earthen clay kulhad filled with milky chai as the hero subject in the foreground. golden hour lighting, warm amber sunrise glow, long dramatic side shadows. HDR photography style, heavily saturated vivid colours, dramatic tone mapping. standard focal length. text overlay zone centred occupying the central area, subtle vignette overlay with light subtle semi-transparen. "Good Morning" text in white decorative font in the text zone, legible. DSLR quality, sharp focus.</t>
  </si>
  <si>
    <t>Photorealistic HDR Saturated photograph, 9:16 vertical, full-bleed, no text, no letters, no words. Early morning Indian setting. an earthen clay kulhad filled with milky chai as the hero subject in the foreground. golden hour lighting, warm amber sunrise glow, long dramatic side shadows. HDR photography style, heavily saturated vivid colours, dramatic tone mapping. standard focal length. text overlay zone centred occupying the central area subtle overlay for text zone, vignette overlay with light subtle semi-transparen. DSLR quality, sharp focus on subject. Purely visual, no text, no letters, no typography.</t>
  </si>
  <si>
    <t>photorealistic photograph, full-bleed image filling the entire canvas, early morning Indian setting, an earthen clay kulhad filled with milky chai as the hero subject in the foreground, with a small plate of Parle-G style biscuits in the background, golden hour lighting, warm amber sunrise glow, long dramatic side shadows, soft warm directional light, warm colour grading with orange and amber tones, cozy sunrise warmth, HDR photography style, heavily saturated vivid colours, dramatic tone mapping, sharp throughout, viral WhatsApp-forward aesthetic, punchy contrast, standard focal length, balanced framing with scene elements at comfortable natural scale, good detail visible while maintaining environmental context, warm colour temperature 4500K, text overlay zone centred occupying the central area, vignette overlay with light subtle semi-transparent darkened edges and bright vivid centre, text-readable at centre, 9:16 portrait format, professional DSLR photography, sharp focus on subject, high dynamic range, natural bokeh where appropriate --ar 9:16 --s 250 --no text, letters, words, numbers, typography, illustration, cartoon, painting, drawing, sketch, vector, clipart, frame, border, decorative pattern, motif, ornamental, watermarks, logos, blurry, low quality, artificial, CGI, rendered, muted, desaturated, flat</t>
  </si>
  <si>
    <t>Photorealistic HDR Saturated photograph, Good Morning poster, 9:16 vertical (1080x1920). Full-bleed photo, no frames, no borders, no illustration. Early morning Indian setting. Scene: an earthen clay kulhad filled with milky chai as the hero subject in the foreground, with a small plate of Parle-G style biscuits in the background. Mood: golden hour lighting, warm amber sunrise glow, long dramatic side shadows, soft warm directional light, warm colour grading with orange and amber tones, cozy sunrise warmth. Aesthetic: HDR photography style, heavily saturated vivid colours, dramatic tone mapping, sharp throughout, viral WhatsApp-forward aesthetic, punchy contrast. Camera: standard focal length, balanced framing with scene elements at comfortable natural scale, good detail visible while maintaining environmental context. Text zone: text overlay zone centred occupying the central area. Overlay: subtle light vignette overlay with light subtle semi-transparent darkened edges and bright vivid centre, text-readable at centre. Keep this area darker for white text readability. Quality: DSLR, sharp focus on subject, natural depth of field. Negative: illustration, cartoon, painting, vector, frame, border, pattern, text, watermark, blurry, low quality, CGI</t>
  </si>
  <si>
    <t>A photorealistic HDR Saturated style photograph for a Good Morning greeting poster in vertical 9:16 format. The image is a full-bleed photograph that fills the entire canvas — no frames, no borders, no illustration elements. The setting is early morning in India.  Scene: The photograph features an earthen clay kulhad filled with milky chai as the hero subject in the foreground, with a small plate of Parle-G style biscuits in the background. The scene should feel natural and authentic — as if captured in a real Indian morning setting, not staged or artificial.  Lighting &amp; Mood: golden hour lighting, warm amber sunrise glow, long dramatic side shadows, soft warm directional light, warm colour grading with orange and amber tones, cozy sunrise warmth. The light should feel natural and time-appropriate for early morning.  Photography Aesthetic: HDR photography style, heavily saturated vivid colours, dramatic tone mapping, sharp throughout, viral WhatsApp-forward aesthetic, punchy contrast.  Camera &amp; Framing: standard focal length, balanced framing with scene elements at comfortable natural scale, good detail visible while maintaining environmental context. Use natural depth of field appropriate to the focal length — sharp focus on the main subject with gentle falloff in the background.  Colour Temperature: Warm colour temperature around 4500K — amber sunrise warmth.  Composition &amp; Text Zone: The image has a subtle, light semi-transparent overlay — vignette overlay with light subtle semi-transparent darkened edges and bright vivid centre, text-readable at centre. The text overlay zone centred occupying the central area — this area should be slightly darker or muted to ensure white text overlay is legible and readable against the photograph.  Technical Quality: Professional DSLR quality, sharp focus on the main subject, high dynamic range, natural bokeh where the depth of field creates it. The image should look like it was shot by a skilled photographer, not AI-generated.  Do not include: text, letters, words, numbers, typography, illustration, cartoon, painting, drawing, sketch, vector, clipart, frame, border, decorative pattern, motif, ornamental, watermarks, logos, blurry, low quality, artificial, CGI, rendered, muted, desaturated, flat.</t>
  </si>
  <si>
    <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</si>
</sst>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9"/>
      <color rgb="FFFFFFFF"/>
      <name val="Calibri"/>
      <family val="2"/>
    </font>
    <font>
      <i/>
      <sz val="8"/>
      <color rgb="FF94A3B8"/>
      <name val="Calibri"/>
      <family val="2"/>
    </font>
    <font>
      <sz val="9"/>
      <color rgb="FF111827"/>
      <name val="Calibri"/>
      <family val="2"/>
    </font>
    <font>
      <b/>
      <sz val="14"/>
      <color rgb="FFA78BFA"/>
      <name val="Calibri"/>
      <family val="2"/>
    </font>
    <font>
      <b/>
      <sz val="11"/>
      <color rgb="FFFFFFFF"/>
      <name val="Calibri"/>
      <family val="2"/>
    </font>
    <font>
      <b/>
      <sz val="9"/>
      <color rgb="FFE2E8F0"/>
      <name val="Calibri"/>
      <family val="2"/>
    </font>
    <font>
      <b/>
      <sz val="10"/>
      <color rgb="FFFFFFFF"/>
      <name val="Calibri"/>
      <family val="2"/>
    </font>
    <font>
      <b/>
      <sz val="9"/>
      <color rgb="FF94A3B8"/>
      <name val="Calibri"/>
      <family val="2"/>
    </font>
    <font>
      <b/>
      <sz val="10"/>
      <color rgb="FFCBD5E1"/>
      <name val="Calibri"/>
      <family val="2"/>
    </font>
  </fonts>
  <fills count="15">
    <fill>
      <patternFill patternType="none"/>
    </fill>
    <fill>
      <patternFill patternType="gray125"/>
    </fill>
    <fill>
      <patternFill patternType="solid">
        <fgColor rgb="FF1D4ED8"/>
      </patternFill>
    </fill>
    <fill>
      <patternFill patternType="solid">
        <fgColor rgb="FF0F766E"/>
      </patternFill>
    </fill>
    <fill>
      <patternFill patternType="solid">
        <fgColor rgb="FF6D28D9"/>
      </patternFill>
    </fill>
    <fill>
      <patternFill patternType="solid">
        <fgColor rgb="FF9D174D"/>
      </patternFill>
    </fill>
    <fill>
      <patternFill patternType="solid">
        <fgColor rgb="FF78350F"/>
      </patternFill>
    </fill>
    <fill>
      <patternFill patternType="solid">
        <fgColor rgb="FF374151"/>
      </patternFill>
    </fill>
    <fill>
      <patternFill patternType="solid">
        <fgColor rgb="FF4C1D95"/>
      </patternFill>
    </fill>
    <fill>
      <patternFill patternType="solid">
        <fgColor rgb="FF064E3B"/>
      </patternFill>
    </fill>
    <fill>
      <patternFill patternType="solid">
        <fgColor rgb="FF1E293B"/>
      </patternFill>
    </fill>
    <fill>
      <patternFill patternType="solid">
        <fgColor rgb="FF2D3748"/>
      </patternFill>
    </fill>
    <fill>
      <patternFill patternType="solid">
        <fgColor rgb="FFF8FAFC"/>
      </patternFill>
    </fill>
    <fill>
      <patternFill patternType="solid">
        <fgColor rgb="FFFFFFFF"/>
      </patternFill>
    </fill>
    <fill>
      <patternFill patternType="solid">
        <fgColor rgb="FF0F172A"/>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9">
    <xf numFmtId="0" fontId="0" fillId="0" borderId="0" xfId="0"/>
    <xf numFmtId="0" fontId="1" fillId="6" borderId="0" xfId="0" applyFont="1" applyFill="1" applyAlignment="1">
      <alignment horizontal="center" vertical="center"/>
    </xf>
    <xf numFmtId="0" fontId="1" fillId="10"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8" fillId="11" borderId="1" xfId="0" applyFont="1" applyFill="1" applyBorder="1" applyAlignment="1">
      <alignment horizontal="center" vertical="center"/>
    </xf>
    <xf numFmtId="0" fontId="6" fillId="10" borderId="1" xfId="0" applyFont="1" applyFill="1" applyBorder="1" applyAlignment="1">
      <alignment horizontal="left" vertical="center"/>
    </xf>
    <xf numFmtId="0" fontId="3" fillId="12"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1" fillId="4" borderId="0" xfId="0" applyFont="1" applyFill="1" applyAlignment="1">
      <alignment horizontal="center" vertical="center"/>
    </xf>
    <xf numFmtId="0" fontId="1" fillId="7" borderId="0" xfId="0" applyFont="1" applyFill="1" applyAlignment="1">
      <alignment horizontal="center" vertical="center"/>
    </xf>
    <xf numFmtId="0" fontId="1" fillId="8" borderId="0" xfId="0" applyFont="1" applyFill="1" applyAlignment="1">
      <alignment horizontal="center" vertical="center"/>
    </xf>
    <xf numFmtId="0" fontId="1" fillId="5" borderId="0" xfId="0" applyFont="1" applyFill="1" applyAlignment="1">
      <alignment horizontal="center" vertical="center"/>
    </xf>
    <xf numFmtId="0" fontId="1" fillId="3" borderId="0" xfId="0" applyFont="1" applyFill="1" applyAlignment="1">
      <alignment horizontal="center" vertical="center"/>
    </xf>
    <xf numFmtId="0" fontId="1" fillId="9" borderId="0" xfId="0" applyFont="1" applyFill="1" applyAlignment="1">
      <alignment horizontal="center" vertical="center"/>
    </xf>
    <xf numFmtId="0" fontId="4" fillId="14" borderId="1" xfId="0" applyFont="1" applyFill="1" applyBorder="1" applyAlignment="1">
      <alignment horizontal="left" vertical="center"/>
    </xf>
    <xf numFmtId="0" fontId="5" fillId="3" borderId="1" xfId="0" applyFont="1" applyFill="1" applyBorder="1" applyAlignment="1">
      <alignment horizontal="left" vertical="center"/>
    </xf>
    <xf numFmtId="0" fontId="5" fillId="9" borderId="1" xfId="0" applyFont="1" applyFill="1" applyBorder="1" applyAlignment="1">
      <alignment horizontal="left" vertical="center"/>
    </xf>
    <xf numFmtId="0" fontId="5" fillId="2" borderId="1" xfId="0" applyFont="1" applyFill="1" applyBorder="1" applyAlignment="1">
      <alignment horizontal="left" vertical="center"/>
    </xf>
    <xf numFmtId="0" fontId="5" fillId="5" borderId="1" xfId="0" applyFont="1" applyFill="1" applyBorder="1" applyAlignment="1">
      <alignment horizontal="left" vertical="center"/>
    </xf>
    <xf numFmtId="0" fontId="7" fillId="4" borderId="1" xfId="0" applyFont="1" applyFill="1" applyBorder="1" applyAlignment="1">
      <alignment horizontal="left" vertical="center"/>
    </xf>
    <xf numFmtId="0" fontId="7" fillId="5" borderId="1" xfId="0" applyFont="1" applyFill="1" applyBorder="1" applyAlignment="1">
      <alignment horizontal="left" vertical="center"/>
    </xf>
    <xf numFmtId="0" fontId="7" fillId="2" borderId="1" xfId="0" applyFont="1" applyFill="1" applyBorder="1" applyAlignment="1">
      <alignment horizontal="left" vertical="center"/>
    </xf>
    <xf numFmtId="0" fontId="9" fillId="10" borderId="1" xfId="0" applyFont="1" applyFill="1" applyBorder="1" applyAlignment="1">
      <alignment horizontal="left" vertical="center"/>
    </xf>
    <xf numFmtId="0" fontId="7" fillId="6" borderId="1" xfId="0" applyFont="1" applyFill="1" applyBorder="1" applyAlignment="1">
      <alignment horizontal="left" vertical="center"/>
    </xf>
    <xf numFmtId="0" fontId="7" fillId="3" borderId="1" xfId="0" applyFont="1" applyFill="1" applyBorder="1" applyAlignment="1">
      <alignment horizontal="left" vertical="center"/>
    </xf>
    <xf numFmtId="0" fontId="2"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A34A"/>
  </sheetPr>
  <dimension ref="A1:AJ203"/>
  <sheetViews>
    <sheetView showGridLines="0" tabSelected="1" workbookViewId="0">
      <pane xSplit="4" ySplit="3" topLeftCell="X4" activePane="bottomRight" state="frozen"/>
      <selection pane="topRight"/>
      <selection pane="bottomLeft"/>
      <selection pane="bottomRight" activeCell="Y4" sqref="Y4"/>
    </sheetView>
  </sheetViews>
  <sheetFormatPr baseColWidth="10" defaultColWidth="8.83203125" defaultRowHeight="15" x14ac:dyDescent="0.2"/>
  <cols>
    <col min="1" max="1" width="26" customWidth="1"/>
    <col min="2" max="2" width="16" customWidth="1"/>
    <col min="3" max="3" width="14" customWidth="1"/>
    <col min="4" max="4" width="16" customWidth="1"/>
    <col min="5" max="5" width="10" customWidth="1"/>
    <col min="6" max="6" width="18" customWidth="1"/>
    <col min="7" max="7" width="10" customWidth="1"/>
    <col min="8" max="8" width="18" customWidth="1"/>
    <col min="9" max="10" width="16" customWidth="1"/>
    <col min="11" max="12" width="18" customWidth="1"/>
    <col min="13" max="13" width="22" customWidth="1"/>
    <col min="14" max="14" width="14" customWidth="1"/>
    <col min="15" max="16" width="16" customWidth="1"/>
    <col min="17" max="17" width="20" customWidth="1"/>
    <col min="18" max="18" width="14" customWidth="1"/>
    <col min="19" max="19" width="16" customWidth="1"/>
    <col min="20" max="21" width="40" customWidth="1"/>
    <col min="22" max="23" width="40" hidden="1" customWidth="1"/>
    <col min="24" max="24" width="40" customWidth="1"/>
    <col min="25" max="26" width="50" customWidth="1"/>
    <col min="27" max="28" width="16" customWidth="1"/>
    <col min="29" max="29" width="15" customWidth="1"/>
    <col min="30" max="32" width="14" customWidth="1"/>
    <col min="33" max="34" width="16" customWidth="1"/>
    <col min="35" max="35" width="20" customWidth="1"/>
    <col min="36" max="36" width="30" customWidth="1"/>
  </cols>
  <sheetData>
    <row r="1" spans="1:36" ht="18" customHeight="1" x14ac:dyDescent="0.2">
      <c r="A1" s="9" t="s">
        <v>0</v>
      </c>
      <c r="B1" s="10"/>
      <c r="C1" s="10"/>
      <c r="D1" s="10"/>
      <c r="E1" s="15" t="s">
        <v>1</v>
      </c>
      <c r="F1" s="10"/>
      <c r="G1" s="10"/>
      <c r="H1" s="10"/>
      <c r="I1" s="11" t="s">
        <v>2</v>
      </c>
      <c r="J1" s="10"/>
      <c r="K1" s="10"/>
      <c r="L1" s="10"/>
      <c r="M1" s="14" t="s">
        <v>3</v>
      </c>
      <c r="N1" s="10"/>
      <c r="O1" s="10"/>
      <c r="P1" s="10"/>
      <c r="Q1" s="10"/>
      <c r="R1" s="10"/>
      <c r="S1" s="1" t="s">
        <v>4</v>
      </c>
      <c r="T1" s="12" t="s">
        <v>5</v>
      </c>
      <c r="U1" s="10"/>
      <c r="V1" s="10"/>
      <c r="W1" s="10"/>
      <c r="X1" s="10"/>
      <c r="Y1" s="13" t="s">
        <v>6</v>
      </c>
      <c r="Z1" s="10"/>
      <c r="AA1" s="16" t="s">
        <v>7</v>
      </c>
      <c r="AB1" s="10"/>
      <c r="AC1" s="10"/>
      <c r="AD1" s="10"/>
      <c r="AE1" s="10"/>
      <c r="AF1" s="10"/>
      <c r="AG1" s="10"/>
      <c r="AH1" s="10"/>
      <c r="AI1" s="10"/>
      <c r="AJ1" s="10"/>
    </row>
    <row r="2" spans="1:36" ht="36" customHeight="1" x14ac:dyDescent="0.2">
      <c r="A2" s="2" t="s">
        <v>8</v>
      </c>
      <c r="B2" s="2" t="s">
        <v>9</v>
      </c>
      <c r="C2" s="2" t="s">
        <v>10</v>
      </c>
      <c r="D2" s="2" t="s">
        <v>11</v>
      </c>
      <c r="E2" s="2" t="s">
        <v>12</v>
      </c>
      <c r="F2" s="2" t="s">
        <v>13</v>
      </c>
      <c r="G2" s="2" t="s">
        <v>14</v>
      </c>
      <c r="H2" s="2" t="s">
        <v>15</v>
      </c>
      <c r="I2" s="2" t="s">
        <v>16</v>
      </c>
      <c r="J2" s="2" t="s">
        <v>17</v>
      </c>
      <c r="K2" s="2" t="s">
        <v>18</v>
      </c>
      <c r="L2" s="2" t="s">
        <v>19</v>
      </c>
      <c r="M2" s="2" t="s">
        <v>20</v>
      </c>
      <c r="N2" s="2" t="s">
        <v>21</v>
      </c>
      <c r="O2" s="2" t="s">
        <v>22</v>
      </c>
      <c r="P2" s="2" t="s">
        <v>23</v>
      </c>
      <c r="Q2" s="2" t="s">
        <v>24</v>
      </c>
      <c r="R2" s="2" t="s">
        <v>25</v>
      </c>
      <c r="S2" s="2" t="s">
        <v>26</v>
      </c>
      <c r="T2" s="2" t="s">
        <v>27</v>
      </c>
      <c r="U2" s="2" t="s">
        <v>28</v>
      </c>
      <c r="V2" s="2" t="s">
        <v>29</v>
      </c>
      <c r="W2" s="2" t="s">
        <v>30</v>
      </c>
      <c r="X2" s="2" t="s">
        <v>31</v>
      </c>
      <c r="Y2" s="2" t="s">
        <v>32</v>
      </c>
      <c r="Z2" s="2" t="s">
        <v>33</v>
      </c>
      <c r="AA2" s="2" t="s">
        <v>34</v>
      </c>
      <c r="AB2" s="2" t="s">
        <v>35</v>
      </c>
      <c r="AC2" s="2" t="s">
        <v>36</v>
      </c>
      <c r="AD2" s="2" t="s">
        <v>37</v>
      </c>
      <c r="AE2" s="2" t="s">
        <v>38</v>
      </c>
      <c r="AF2" s="2" t="s">
        <v>39</v>
      </c>
      <c r="AG2" s="2" t="s">
        <v>40</v>
      </c>
      <c r="AH2" s="2" t="s">
        <v>41</v>
      </c>
      <c r="AI2" s="2" t="s">
        <v>42</v>
      </c>
      <c r="AJ2" s="2" t="s">
        <v>43</v>
      </c>
    </row>
    <row r="3" spans="1:36" ht="24" x14ac:dyDescent="0.2">
      <c r="A3" s="28" t="s">
        <v>44</v>
      </c>
      <c r="B3" s="28" t="s">
        <v>45</v>
      </c>
      <c r="C3" s="28" t="s">
        <v>46</v>
      </c>
      <c r="D3" s="28" t="s">
        <v>47</v>
      </c>
      <c r="E3" s="28" t="s">
        <v>48</v>
      </c>
      <c r="F3" s="28" t="s">
        <v>49</v>
      </c>
      <c r="G3" s="28" t="s">
        <v>50</v>
      </c>
      <c r="H3" s="28" t="s">
        <v>51</v>
      </c>
      <c r="I3" s="28" t="s">
        <v>52</v>
      </c>
      <c r="J3" s="28" t="s">
        <v>53</v>
      </c>
      <c r="K3" s="28" t="s">
        <v>53</v>
      </c>
      <c r="L3" s="28" t="s">
        <v>53</v>
      </c>
      <c r="M3" s="28" t="s">
        <v>54</v>
      </c>
      <c r="N3" s="28" t="s">
        <v>55</v>
      </c>
      <c r="O3" s="28" t="s">
        <v>56</v>
      </c>
      <c r="P3" s="28" t="s">
        <v>53</v>
      </c>
      <c r="Q3" s="28" t="s">
        <v>57</v>
      </c>
      <c r="R3" s="28" t="s">
        <v>58</v>
      </c>
      <c r="S3" s="28" t="s">
        <v>59</v>
      </c>
      <c r="T3" s="28" t="s">
        <v>60</v>
      </c>
      <c r="U3" s="28" t="s">
        <v>60</v>
      </c>
      <c r="V3" s="28" t="s">
        <v>61</v>
      </c>
      <c r="W3" s="28" t="s">
        <v>62</v>
      </c>
      <c r="X3" s="28" t="s">
        <v>63</v>
      </c>
      <c r="Y3" s="28" t="s">
        <v>64</v>
      </c>
      <c r="Z3" s="28" t="s">
        <v>65</v>
      </c>
      <c r="AA3" s="28" t="s">
        <v>66</v>
      </c>
      <c r="AB3" s="28" t="s">
        <v>67</v>
      </c>
      <c r="AC3" s="28" t="s">
        <v>68</v>
      </c>
      <c r="AD3" s="28" t="s">
        <v>69</v>
      </c>
      <c r="AE3" s="28" t="s">
        <v>70</v>
      </c>
      <c r="AF3" s="28" t="s">
        <v>71</v>
      </c>
      <c r="AG3" s="28" t="s">
        <v>72</v>
      </c>
      <c r="AH3" s="28" t="s">
        <v>73</v>
      </c>
      <c r="AI3" s="28" t="s">
        <v>74</v>
      </c>
      <c r="AJ3" s="28" t="s">
        <v>75</v>
      </c>
    </row>
    <row r="4" spans="1:36" ht="409.6" x14ac:dyDescent="0.2">
      <c r="A4" s="3" t="s">
        <v>193</v>
      </c>
      <c r="B4" s="3" t="s">
        <v>194</v>
      </c>
      <c r="C4" s="3"/>
      <c r="D4" s="3" t="s">
        <v>195</v>
      </c>
      <c r="E4" s="3" t="s">
        <v>196</v>
      </c>
      <c r="F4" s="3" t="s">
        <v>197</v>
      </c>
      <c r="G4" s="3" t="s">
        <v>198</v>
      </c>
      <c r="H4" s="3"/>
      <c r="I4" s="3"/>
      <c r="J4" s="3"/>
      <c r="K4" s="3"/>
      <c r="L4" s="3"/>
      <c r="M4" s="3"/>
      <c r="N4" s="3" t="s">
        <v>199</v>
      </c>
      <c r="O4" s="3" t="s">
        <v>200</v>
      </c>
      <c r="P4" s="3" t="s">
        <v>172</v>
      </c>
      <c r="Q4" s="3" t="s">
        <v>201</v>
      </c>
      <c r="R4" s="3"/>
      <c r="S4" s="3"/>
      <c r="T4" s="3" t="s">
        <v>202</v>
      </c>
      <c r="U4" s="3" t="s">
        <v>203</v>
      </c>
      <c r="V4" s="3" t="s">
        <v>204</v>
      </c>
      <c r="W4" s="3" t="s">
        <v>205</v>
      </c>
      <c r="X4" s="3" t="s">
        <v>206</v>
      </c>
      <c r="Y4" s="3" t="s">
        <v>215</v>
      </c>
      <c r="Z4" s="3"/>
      <c r="AA4" s="3"/>
      <c r="AB4" s="3"/>
      <c r="AC4" s="3"/>
      <c r="AD4" s="3"/>
      <c r="AE4" s="3"/>
      <c r="AF4" s="3"/>
      <c r="AG4" s="3"/>
      <c r="AH4" s="3"/>
      <c r="AI4" s="3"/>
      <c r="AJ4" s="3"/>
    </row>
    <row r="5" spans="1:36" x14ac:dyDescent="0.2">
      <c r="A5" s="4" t="s">
        <v>207</v>
      </c>
      <c r="B5" s="4" t="s">
        <v>208</v>
      </c>
      <c r="C5" s="4"/>
      <c r="D5" s="4" t="s">
        <v>195</v>
      </c>
      <c r="E5" s="4" t="s">
        <v>196</v>
      </c>
      <c r="F5" s="4" t="s">
        <v>197</v>
      </c>
      <c r="G5" s="4" t="s">
        <v>209</v>
      </c>
      <c r="H5" s="4"/>
      <c r="I5" s="4"/>
      <c r="J5" s="4"/>
      <c r="K5" s="4"/>
      <c r="L5" s="4"/>
      <c r="M5" s="4"/>
      <c r="N5" s="4" t="s">
        <v>199</v>
      </c>
      <c r="O5" s="4" t="s">
        <v>200</v>
      </c>
      <c r="P5" s="4" t="s">
        <v>172</v>
      </c>
      <c r="Q5" s="4" t="s">
        <v>201</v>
      </c>
      <c r="R5" s="4"/>
      <c r="S5" s="4"/>
      <c r="T5" s="4" t="s">
        <v>210</v>
      </c>
      <c r="U5" s="4" t="s">
        <v>211</v>
      </c>
      <c r="V5" s="4" t="s">
        <v>212</v>
      </c>
      <c r="W5" s="4" t="s">
        <v>213</v>
      </c>
      <c r="X5" s="4" t="s">
        <v>214</v>
      </c>
      <c r="Y5" s="4"/>
      <c r="Z5" s="4"/>
      <c r="AA5" s="4"/>
      <c r="AB5" s="4"/>
      <c r="AC5" s="4"/>
      <c r="AD5" s="4"/>
      <c r="AE5" s="4"/>
      <c r="AF5" s="4"/>
      <c r="AG5" s="4"/>
      <c r="AH5" s="4"/>
      <c r="AI5" s="4"/>
      <c r="AJ5" s="4"/>
    </row>
    <row r="6" spans="1:36"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x14ac:dyDescent="0.2">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36"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row>
    <row r="9" spans="1:36" x14ac:dyDescent="0.2">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36" x14ac:dyDescent="0.2">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x14ac:dyDescent="0.2">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36" x14ac:dyDescent="0.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x14ac:dyDescent="0.2">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row>
    <row r="14" spans="1:36" x14ac:dyDescent="0.2">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x14ac:dyDescent="0.2">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row>
    <row r="16" spans="1:36" x14ac:dyDescent="0.2">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x14ac:dyDescent="0.2">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row>
    <row r="18" spans="1:36"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x14ac:dyDescent="0.2">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row>
    <row r="20" spans="1:36" x14ac:dyDescent="0.2">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row>
    <row r="21" spans="1:36" x14ac:dyDescent="0.2">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36" x14ac:dyDescent="0.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spans="1:36" x14ac:dyDescent="0.2">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row>
    <row r="24" spans="1:36"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x14ac:dyDescent="0.2">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row>
    <row r="26" spans="1:36"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x14ac:dyDescent="0.2">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row>
    <row r="28" spans="1:36"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x14ac:dyDescent="0.2">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row>
    <row r="30" spans="1:36"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x14ac:dyDescent="0.2">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row>
    <row r="32" spans="1:36"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x14ac:dyDescent="0.2">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row>
    <row r="34" spans="1:36"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spans="1:36" x14ac:dyDescent="0.2">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row>
    <row r="36" spans="1:36"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x14ac:dyDescent="0.2">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row>
    <row r="38" spans="1:36"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spans="1:36" x14ac:dyDescent="0.2">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row>
    <row r="40" spans="1:36"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spans="1:36" x14ac:dyDescent="0.2">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36"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spans="1:36" x14ac:dyDescent="0.2">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row>
    <row r="44" spans="1:36"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x14ac:dyDescent="0.2">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row>
    <row r="46" spans="1:36"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x14ac:dyDescent="0.2">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row>
    <row r="48" spans="1:36"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spans="1:36" x14ac:dyDescent="0.2">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row>
    <row r="50" spans="1:36"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spans="1:36" x14ac:dyDescent="0.2">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row>
    <row r="52" spans="1:36"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spans="1:36" x14ac:dyDescent="0.2">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row>
    <row r="54" spans="1:36"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spans="1:36"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row>
    <row r="56" spans="1:36"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spans="1:36"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row>
    <row r="58" spans="1:36"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spans="1:36"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row>
    <row r="60" spans="1:36"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spans="1:36"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row>
    <row r="62" spans="1:36"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row>
    <row r="64" spans="1:36"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spans="1:36"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row>
    <row r="66" spans="1:36"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1:36"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row>
    <row r="68" spans="1:36"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spans="1:36"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row>
    <row r="70" spans="1:36"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spans="1:36"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row>
    <row r="72" spans="1:36"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spans="1:36"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row>
    <row r="74" spans="1:36"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spans="1:36"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row>
    <row r="76" spans="1:36"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spans="1:36"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row>
    <row r="78" spans="1:36"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spans="1:36"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row>
    <row r="80" spans="1:36"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spans="1:36"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row>
    <row r="82" spans="1:36"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spans="1:36"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row>
    <row r="84" spans="1:36"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spans="1:36"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row>
    <row r="86" spans="1:36"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spans="1:36"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row>
    <row r="88" spans="1:36"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spans="1:36"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row>
    <row r="90" spans="1:36"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spans="1:36"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row>
    <row r="92" spans="1:36"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spans="1:36"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row>
    <row r="94" spans="1:36"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spans="1:36"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row>
    <row r="96" spans="1:36"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spans="1:36"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row>
    <row r="98" spans="1:36"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spans="1:36"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spans="1:3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1:3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spans="1:3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1:3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row>
    <row r="104" spans="1:3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1:3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row>
    <row r="106" spans="1:3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1:3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row>
    <row r="108" spans="1:3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1:3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row>
    <row r="110" spans="1:3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1:3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row>
    <row r="112" spans="1:3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spans="1:3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row>
    <row r="114" spans="1:3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spans="1:3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row>
    <row r="116" spans="1:3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spans="1:3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row>
    <row r="118" spans="1:3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spans="1:3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row>
    <row r="120" spans="1:3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spans="1:3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row>
    <row r="122" spans="1:3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spans="1:3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row>
    <row r="124" spans="1:3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1:3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row>
    <row r="126" spans="1:3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spans="1:3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row>
    <row r="128" spans="1:3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spans="1:3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row>
    <row r="130" spans="1:3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spans="1:3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row>
    <row r="132" spans="1:3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spans="1:3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row>
    <row r="134" spans="1:3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1:3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row>
    <row r="136" spans="1:3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spans="1:3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row>
    <row r="138" spans="1:3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spans="1:3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row>
    <row r="140" spans="1:3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spans="1:3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row>
    <row r="142" spans="1:3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spans="1:3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row>
    <row r="144" spans="1:3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spans="1:3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row>
    <row r="146" spans="1:3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spans="1:3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row>
    <row r="148" spans="1:3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spans="1:3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row>
    <row r="150" spans="1:3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spans="1:3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row>
    <row r="152" spans="1:3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spans="1:3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row>
    <row r="154" spans="1:3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1:3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row>
    <row r="156" spans="1:3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1:3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row>
    <row r="158" spans="1:3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1:3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row>
    <row r="160" spans="1:3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spans="1:3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row>
    <row r="162" spans="1:3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spans="1:3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row>
    <row r="164" spans="1:3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spans="1:3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row>
    <row r="166" spans="1:3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spans="1:3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row>
    <row r="168" spans="1:3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spans="1:3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3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spans="1:3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row>
    <row r="172" spans="1:3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1:3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row>
    <row r="174" spans="1:3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spans="1:3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3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spans="1:3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row>
    <row r="178" spans="1:3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spans="1:3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row>
    <row r="180" spans="1:3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spans="1:3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row>
    <row r="182" spans="1:3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spans="1:3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row>
    <row r="184" spans="1:3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spans="1:3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row>
    <row r="186" spans="1:3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spans="1:3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row>
    <row r="188" spans="1:3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1:3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row>
    <row r="190" spans="1:3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spans="1:3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row>
    <row r="192" spans="1:3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spans="1:3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row>
    <row r="194" spans="1:3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spans="1:3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row>
    <row r="196" spans="1:3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spans="1:3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row>
    <row r="198" spans="1:3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spans="1:3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row>
    <row r="200" spans="1:3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spans="1:3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row>
    <row r="202" spans="1:3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spans="1:3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row>
  </sheetData>
  <mergeCells count="7">
    <mergeCell ref="AA1:AJ1"/>
    <mergeCell ref="A1:D1"/>
    <mergeCell ref="I1:L1"/>
    <mergeCell ref="T1:X1"/>
    <mergeCell ref="Y1:Z1"/>
    <mergeCell ref="M1:R1"/>
    <mergeCell ref="E1:H1"/>
  </mergeCells>
  <conditionalFormatting sqref="AA4:AA203">
    <cfRule type="colorScale" priority="1">
      <colorScale>
        <cfvo type="num" val="1"/>
        <cfvo type="num" val="3"/>
        <cfvo type="num" val="5"/>
        <color rgb="FFDC2626"/>
        <color rgb="FFF59E0B"/>
        <color rgb="FF16A34A"/>
      </colorScale>
    </cfRule>
  </conditionalFormatting>
  <conditionalFormatting sqref="AG4:AG203">
    <cfRule type="colorScale" priority="2">
      <colorScale>
        <cfvo type="num" val="1"/>
        <cfvo type="num" val="3"/>
        <cfvo type="num" val="5"/>
        <color rgb="FFDC2626"/>
        <color rgb="FFF59E0B"/>
        <color rgb="FF16A34A"/>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4ED8"/>
  </sheetPr>
  <dimension ref="B2:C49"/>
  <sheetViews>
    <sheetView showGridLines="0" topLeftCell="A22" workbookViewId="0"/>
  </sheetViews>
  <sheetFormatPr baseColWidth="10" defaultColWidth="8.83203125" defaultRowHeight="15" x14ac:dyDescent="0.2"/>
  <cols>
    <col min="1" max="1" width="4" customWidth="1"/>
    <col min="2" max="2" width="22" customWidth="1"/>
    <col min="3" max="3" width="70" customWidth="1"/>
  </cols>
  <sheetData>
    <row r="2" spans="2:3" ht="28" customHeight="1" x14ac:dyDescent="0.2">
      <c r="B2" s="17" t="s">
        <v>76</v>
      </c>
      <c r="C2" s="10"/>
    </row>
    <row r="4" spans="2:3" ht="22" customHeight="1" x14ac:dyDescent="0.2">
      <c r="B4" s="20" t="s">
        <v>77</v>
      </c>
      <c r="C4" s="10"/>
    </row>
    <row r="5" spans="2:3" ht="18" customHeight="1" x14ac:dyDescent="0.2">
      <c r="B5" s="5" t="s">
        <v>78</v>
      </c>
      <c r="C5" s="3" t="s">
        <v>79</v>
      </c>
    </row>
    <row r="6" spans="2:3" ht="18" customHeight="1" x14ac:dyDescent="0.2">
      <c r="B6" s="5" t="s">
        <v>80</v>
      </c>
      <c r="C6" s="3" t="s">
        <v>81</v>
      </c>
    </row>
    <row r="7" spans="2:3" ht="18" customHeight="1" x14ac:dyDescent="0.2">
      <c r="B7" s="5" t="s">
        <v>82</v>
      </c>
      <c r="C7" s="3" t="s">
        <v>83</v>
      </c>
    </row>
    <row r="8" spans="2:3" ht="18" customHeight="1" x14ac:dyDescent="0.2">
      <c r="B8" s="5" t="s">
        <v>84</v>
      </c>
      <c r="C8" s="3" t="s">
        <v>85</v>
      </c>
    </row>
    <row r="9" spans="2:3" ht="18" customHeight="1" x14ac:dyDescent="0.2">
      <c r="B9" s="5" t="s">
        <v>86</v>
      </c>
      <c r="C9" s="3" t="s">
        <v>87</v>
      </c>
    </row>
    <row r="10" spans="2:3" ht="18" customHeight="1" x14ac:dyDescent="0.2">
      <c r="B10" s="5" t="s">
        <v>88</v>
      </c>
      <c r="C10" s="3" t="s">
        <v>89</v>
      </c>
    </row>
    <row r="11" spans="2:3" ht="18" customHeight="1" x14ac:dyDescent="0.2">
      <c r="B11" s="5" t="s">
        <v>90</v>
      </c>
      <c r="C11" s="3" t="s">
        <v>91</v>
      </c>
    </row>
    <row r="12" spans="2:3" ht="18" customHeight="1" x14ac:dyDescent="0.2">
      <c r="B12" s="5" t="s">
        <v>92</v>
      </c>
      <c r="C12" s="3" t="s">
        <v>93</v>
      </c>
    </row>
    <row r="14" spans="2:3" ht="22" customHeight="1" x14ac:dyDescent="0.2">
      <c r="B14" s="18" t="s">
        <v>94</v>
      </c>
      <c r="C14" s="10"/>
    </row>
    <row r="15" spans="2:3" ht="18" customHeight="1" x14ac:dyDescent="0.2">
      <c r="B15" s="5" t="s">
        <v>95</v>
      </c>
      <c r="C15" s="3" t="s">
        <v>96</v>
      </c>
    </row>
    <row r="16" spans="2:3" ht="18" customHeight="1" x14ac:dyDescent="0.2">
      <c r="B16" s="5" t="s">
        <v>97</v>
      </c>
      <c r="C16" s="3" t="s">
        <v>98</v>
      </c>
    </row>
    <row r="17" spans="2:3" ht="18" customHeight="1" x14ac:dyDescent="0.2">
      <c r="B17" s="5" t="s">
        <v>99</v>
      </c>
      <c r="C17" s="3" t="s">
        <v>100</v>
      </c>
    </row>
    <row r="18" spans="2:3" ht="18" customHeight="1" x14ac:dyDescent="0.2">
      <c r="B18" s="5" t="s">
        <v>101</v>
      </c>
      <c r="C18" s="3" t="s">
        <v>102</v>
      </c>
    </row>
    <row r="19" spans="2:3" ht="18" customHeight="1" x14ac:dyDescent="0.2">
      <c r="B19" s="5" t="s">
        <v>99</v>
      </c>
      <c r="C19" s="3" t="s">
        <v>103</v>
      </c>
    </row>
    <row r="20" spans="2:3" ht="18" customHeight="1" x14ac:dyDescent="0.2">
      <c r="B20" s="5" t="s">
        <v>104</v>
      </c>
      <c r="C20" s="3" t="s">
        <v>105</v>
      </c>
    </row>
    <row r="21" spans="2:3" ht="18" customHeight="1" x14ac:dyDescent="0.2">
      <c r="B21" s="5" t="s">
        <v>99</v>
      </c>
      <c r="C21" s="3" t="s">
        <v>106</v>
      </c>
    </row>
    <row r="22" spans="2:3" ht="18" customHeight="1" x14ac:dyDescent="0.2">
      <c r="B22" s="5" t="s">
        <v>107</v>
      </c>
      <c r="C22" s="3" t="s">
        <v>108</v>
      </c>
    </row>
    <row r="23" spans="2:3" ht="18" customHeight="1" x14ac:dyDescent="0.2">
      <c r="B23" s="5" t="s">
        <v>109</v>
      </c>
      <c r="C23" s="3" t="s">
        <v>110</v>
      </c>
    </row>
    <row r="24" spans="2:3" ht="18" customHeight="1" x14ac:dyDescent="0.2">
      <c r="B24" s="5" t="s">
        <v>111</v>
      </c>
      <c r="C24" s="3" t="s">
        <v>112</v>
      </c>
    </row>
    <row r="25" spans="2:3" ht="18" customHeight="1" x14ac:dyDescent="0.2">
      <c r="B25" s="5" t="s">
        <v>113</v>
      </c>
      <c r="C25" s="3" t="s">
        <v>114</v>
      </c>
    </row>
    <row r="26" spans="2:3" ht="18" customHeight="1" x14ac:dyDescent="0.2">
      <c r="B26" s="5" t="s">
        <v>115</v>
      </c>
      <c r="C26" s="3" t="s">
        <v>116</v>
      </c>
    </row>
    <row r="27" spans="2:3" ht="18" customHeight="1" x14ac:dyDescent="0.2">
      <c r="B27" s="5" t="s">
        <v>117</v>
      </c>
      <c r="C27" s="3" t="s">
        <v>118</v>
      </c>
    </row>
    <row r="28" spans="2:3" ht="18" customHeight="1" x14ac:dyDescent="0.2">
      <c r="B28" s="5" t="s">
        <v>119</v>
      </c>
      <c r="C28" s="3" t="s">
        <v>120</v>
      </c>
    </row>
    <row r="29" spans="2:3" ht="18" customHeight="1" x14ac:dyDescent="0.2">
      <c r="B29" s="5" t="s">
        <v>121</v>
      </c>
      <c r="C29" s="3" t="s">
        <v>122</v>
      </c>
    </row>
    <row r="31" spans="2:3" ht="22" customHeight="1" x14ac:dyDescent="0.2">
      <c r="B31" s="19" t="s">
        <v>123</v>
      </c>
      <c r="C31" s="10"/>
    </row>
    <row r="32" spans="2:3" ht="18" customHeight="1" x14ac:dyDescent="0.2">
      <c r="B32" s="5" t="s">
        <v>34</v>
      </c>
      <c r="C32" s="3" t="s">
        <v>124</v>
      </c>
    </row>
    <row r="33" spans="2:3" ht="18" customHeight="1" x14ac:dyDescent="0.2">
      <c r="B33" s="5" t="s">
        <v>35</v>
      </c>
      <c r="C33" s="3" t="s">
        <v>125</v>
      </c>
    </row>
    <row r="34" spans="2:3" ht="18" customHeight="1" x14ac:dyDescent="0.2">
      <c r="B34" s="5" t="s">
        <v>36</v>
      </c>
      <c r="C34" s="3" t="s">
        <v>126</v>
      </c>
    </row>
    <row r="35" spans="2:3" ht="18" customHeight="1" x14ac:dyDescent="0.2">
      <c r="B35" s="5" t="s">
        <v>37</v>
      </c>
      <c r="C35" s="3" t="s">
        <v>127</v>
      </c>
    </row>
    <row r="36" spans="2:3" ht="18" customHeight="1" x14ac:dyDescent="0.2">
      <c r="B36" s="5" t="s">
        <v>38</v>
      </c>
      <c r="C36" s="3" t="s">
        <v>128</v>
      </c>
    </row>
    <row r="37" spans="2:3" ht="18" customHeight="1" x14ac:dyDescent="0.2">
      <c r="B37" s="5" t="s">
        <v>39</v>
      </c>
      <c r="C37" s="3" t="s">
        <v>129</v>
      </c>
    </row>
    <row r="38" spans="2:3" ht="18" customHeight="1" x14ac:dyDescent="0.2">
      <c r="B38" s="5" t="s">
        <v>40</v>
      </c>
      <c r="C38" s="3" t="s">
        <v>130</v>
      </c>
    </row>
    <row r="39" spans="2:3" ht="18" customHeight="1" x14ac:dyDescent="0.2">
      <c r="B39" s="5" t="s">
        <v>41</v>
      </c>
      <c r="C39" s="3" t="s">
        <v>131</v>
      </c>
    </row>
    <row r="40" spans="2:3" ht="18" customHeight="1" x14ac:dyDescent="0.2">
      <c r="B40" s="5" t="s">
        <v>42</v>
      </c>
      <c r="C40" s="3" t="s">
        <v>132</v>
      </c>
    </row>
    <row r="41" spans="2:3" ht="18" customHeight="1" x14ac:dyDescent="0.2">
      <c r="B41" s="5" t="s">
        <v>43</v>
      </c>
      <c r="C41" s="3" t="s">
        <v>133</v>
      </c>
    </row>
    <row r="43" spans="2:3" ht="22" customHeight="1" x14ac:dyDescent="0.2">
      <c r="B43" s="21" t="s">
        <v>134</v>
      </c>
      <c r="C43" s="10"/>
    </row>
    <row r="44" spans="2:3" ht="18" customHeight="1" x14ac:dyDescent="0.2">
      <c r="B44" s="5" t="s">
        <v>135</v>
      </c>
      <c r="C44" s="3" t="s">
        <v>136</v>
      </c>
    </row>
    <row r="45" spans="2:3" ht="18" customHeight="1" x14ac:dyDescent="0.2">
      <c r="B45" s="5" t="s">
        <v>137</v>
      </c>
      <c r="C45" s="3" t="s">
        <v>138</v>
      </c>
    </row>
    <row r="46" spans="2:3" ht="18" customHeight="1" x14ac:dyDescent="0.2">
      <c r="B46" s="5" t="s">
        <v>139</v>
      </c>
      <c r="C46" s="3" t="s">
        <v>140</v>
      </c>
    </row>
    <row r="47" spans="2:3" ht="18" customHeight="1" x14ac:dyDescent="0.2">
      <c r="B47" s="5" t="s">
        <v>141</v>
      </c>
      <c r="C47" s="3" t="s">
        <v>142</v>
      </c>
    </row>
    <row r="48" spans="2:3" ht="18" customHeight="1" x14ac:dyDescent="0.2">
      <c r="B48" s="5" t="s">
        <v>143</v>
      </c>
      <c r="C48" s="3" t="s">
        <v>144</v>
      </c>
    </row>
    <row r="49" spans="2:3" ht="18" customHeight="1" x14ac:dyDescent="0.2">
      <c r="B49" s="5" t="s">
        <v>145</v>
      </c>
      <c r="C49" s="3" t="s">
        <v>146</v>
      </c>
    </row>
  </sheetData>
  <mergeCells count="5">
    <mergeCell ref="B2:C2"/>
    <mergeCell ref="B14:C14"/>
    <mergeCell ref="B31:C31"/>
    <mergeCell ref="B4:C4"/>
    <mergeCell ref="B43:C4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sheetPr>
  <dimension ref="B2:G49"/>
  <sheetViews>
    <sheetView showGridLines="0" workbookViewId="0">
      <selection activeCell="F6" sqref="F6"/>
    </sheetView>
  </sheetViews>
  <sheetFormatPr baseColWidth="10" defaultColWidth="8.83203125" defaultRowHeight="15" x14ac:dyDescent="0.2"/>
  <cols>
    <col min="1" max="1" width="3" customWidth="1"/>
    <col min="2" max="2" width="24" customWidth="1"/>
    <col min="3" max="7" width="14" customWidth="1"/>
  </cols>
  <sheetData>
    <row r="2" spans="2:7" ht="24" customHeight="1" x14ac:dyDescent="0.2">
      <c r="B2" s="17" t="s">
        <v>147</v>
      </c>
      <c r="C2" s="10"/>
      <c r="D2" s="10"/>
      <c r="E2" s="10"/>
      <c r="F2" s="10"/>
      <c r="G2" s="10"/>
    </row>
    <row r="4" spans="2:7" ht="24" customHeight="1" x14ac:dyDescent="0.2">
      <c r="B4" s="24" t="s">
        <v>148</v>
      </c>
      <c r="C4" s="10"/>
      <c r="D4" s="10"/>
      <c r="E4" s="10"/>
      <c r="F4" s="10"/>
      <c r="G4" s="10"/>
    </row>
    <row r="5" spans="2:7" ht="16" customHeight="1" x14ac:dyDescent="0.2">
      <c r="B5" s="6" t="s">
        <v>12</v>
      </c>
      <c r="C5" s="6" t="s">
        <v>149</v>
      </c>
      <c r="D5" s="6" t="s">
        <v>150</v>
      </c>
      <c r="E5" s="6" t="s">
        <v>151</v>
      </c>
      <c r="F5" s="6" t="s">
        <v>152</v>
      </c>
      <c r="G5" s="6" t="s">
        <v>153</v>
      </c>
    </row>
    <row r="6" spans="2:7" ht="16" customHeight="1" x14ac:dyDescent="0.2">
      <c r="B6" s="7" t="s">
        <v>154</v>
      </c>
      <c r="C6" s="8" t="str">
        <f>IFERROR(AVERAGEIF('Eval Data'!E$4:E$203,"A1",'Eval Data'!AA$4:AA$203),"—")</f>
        <v>—</v>
      </c>
      <c r="D6" s="8">
        <f>COUNTIF('Eval Data'!E$4:E$203,"A1")</f>
        <v>0</v>
      </c>
      <c r="E6" s="8" t="str">
        <f>IFERROR(COUNTIFS('Eval Data'!E$4:E$203,"A1",'Eval Data'!AH$4:AH$203,"Y")/COUNTIF('Eval Data'!E$4:E$203,"A1")*100,"—")</f>
        <v>—</v>
      </c>
      <c r="F6" s="8" t="str">
        <f>IFERROR(COUNTIFS('Eval Data'!E$4:E$203,"A1",'Eval Data'!AB$4:AB$203,"Y")/COUNTIF('Eval Data'!E$4:E$203,"A1")*100,"—")</f>
        <v>—</v>
      </c>
      <c r="G6" s="8" t="str">
        <f>IFERROR(AVERAGEIF('Eval Data'!E$4:E$203,"A1",'Eval Data'!AG$4:AG$203),"—")</f>
        <v>—</v>
      </c>
    </row>
    <row r="7" spans="2:7" ht="16" customHeight="1" x14ac:dyDescent="0.2">
      <c r="B7" s="7" t="s">
        <v>155</v>
      </c>
      <c r="C7" s="8" t="str">
        <f>IFERROR(AVERAGEIF('Eval Data'!E$4:E$203,"A2",'Eval Data'!AA$4:AA$203),"—")</f>
        <v>—</v>
      </c>
      <c r="D7" s="8">
        <f>COUNTIF('Eval Data'!E$4:E$203,"A2")</f>
        <v>0</v>
      </c>
      <c r="E7" s="8" t="str">
        <f>IFERROR(COUNTIFS('Eval Data'!E$4:E$203,"A2",'Eval Data'!AH$4:AH$203,"Y")/COUNTIF('Eval Data'!E$4:E$203,"A2")*100,"—")</f>
        <v>—</v>
      </c>
      <c r="F7" s="8" t="str">
        <f>IFERROR(COUNTIFS('Eval Data'!E$4:E$203,"A2",'Eval Data'!AB$4:AB$203,"Y")/COUNTIF('Eval Data'!E$4:E$203,"A2")*100,"—")</f>
        <v>—</v>
      </c>
      <c r="G7" s="8" t="str">
        <f>IFERROR(AVERAGEIF('Eval Data'!E$4:E$203,"A2",'Eval Data'!AG$4:AG$203),"—")</f>
        <v>—</v>
      </c>
    </row>
    <row r="8" spans="2:7" ht="16" customHeight="1" x14ac:dyDescent="0.2">
      <c r="B8" s="7" t="s">
        <v>156</v>
      </c>
      <c r="C8" s="8" t="str">
        <f>IFERROR(AVERAGEIF('Eval Data'!E$4:E$203,"B1",'Eval Data'!AA$4:AA$203),"—")</f>
        <v>—</v>
      </c>
      <c r="D8" s="8">
        <f>COUNTIF('Eval Data'!E$4:E$203,"B1")</f>
        <v>0</v>
      </c>
      <c r="E8" s="8" t="str">
        <f>IFERROR(COUNTIFS('Eval Data'!E$4:E$203,"B1",'Eval Data'!AH$4:AH$203,"Y")/COUNTIF('Eval Data'!E$4:E$203,"B1")*100,"—")</f>
        <v>—</v>
      </c>
      <c r="F8" s="8" t="str">
        <f>IFERROR(COUNTIFS('Eval Data'!E$4:E$203,"B1",'Eval Data'!AB$4:AB$203,"Y")/COUNTIF('Eval Data'!E$4:E$203,"B1")*100,"—")</f>
        <v>—</v>
      </c>
      <c r="G8" s="8" t="str">
        <f>IFERROR(AVERAGEIF('Eval Data'!E$4:E$203,"B1",'Eval Data'!AG$4:AG$203),"—")</f>
        <v>—</v>
      </c>
    </row>
    <row r="10" spans="2:7" ht="24" customHeight="1" x14ac:dyDescent="0.2">
      <c r="B10" s="22" t="s">
        <v>157</v>
      </c>
      <c r="C10" s="10"/>
      <c r="D10" s="10"/>
      <c r="E10" s="10"/>
      <c r="F10" s="10"/>
      <c r="G10" s="10"/>
    </row>
    <row r="11" spans="2:7" ht="16" customHeight="1" x14ac:dyDescent="0.2">
      <c r="B11" s="6" t="s">
        <v>16</v>
      </c>
      <c r="C11" s="6" t="s">
        <v>149</v>
      </c>
      <c r="D11" s="6" t="s">
        <v>150</v>
      </c>
      <c r="E11" s="6" t="s">
        <v>151</v>
      </c>
      <c r="F11" s="6" t="s">
        <v>152</v>
      </c>
      <c r="G11" s="6" t="s">
        <v>153</v>
      </c>
    </row>
    <row r="12" spans="2:7" ht="16" customHeight="1" x14ac:dyDescent="0.2">
      <c r="B12" s="7" t="s">
        <v>158</v>
      </c>
      <c r="C12" s="8" t="str">
        <f>IFERROR(AVERAGEIF('Eval Data'!I$4:I$203,"*Shiny Maximal*",'Eval Data'!AA$4:AA$203),"—")</f>
        <v>—</v>
      </c>
      <c r="D12" s="8">
        <f>COUNTIF('Eval Data'!I$4:I$203,"*Shiny Maximal*")</f>
        <v>0</v>
      </c>
      <c r="E12" s="8" t="str">
        <f>IFERROR(COUNTIFS('Eval Data'!I$4:I$203,"*Shiny Maximal*",'Eval Data'!AH$4:AH$203,"Y")/COUNTIF('Eval Data'!I$4:I$203,"*Shiny Maximal*")*100,"—")</f>
        <v>—</v>
      </c>
      <c r="F12" s="8" t="str">
        <f>IFERROR(COUNTIFS('Eval Data'!I$4:I$203,"*Shiny Maximal*",'Eval Data'!AB$4:AB$203,"Y")/COUNTIF('Eval Data'!I$4:I$203,"*Shiny Maximal*")*100,"—")</f>
        <v>—</v>
      </c>
      <c r="G12" s="8" t="str">
        <f>IFERROR(AVERAGEIF('Eval Data'!I$4:I$203,"*Shiny Maximal*",'Eval Data'!AG$4:AG$203),"—")</f>
        <v>—</v>
      </c>
    </row>
    <row r="13" spans="2:7" ht="16" customHeight="1" x14ac:dyDescent="0.2">
      <c r="B13" s="7" t="s">
        <v>159</v>
      </c>
      <c r="C13" s="8" t="str">
        <f>IFERROR(AVERAGEIF('Eval Data'!I$4:I$203,"*Modern Desi*",'Eval Data'!AA$4:AA$203),"—")</f>
        <v>—</v>
      </c>
      <c r="D13" s="8">
        <f>COUNTIF('Eval Data'!I$4:I$203,"*Modern Desi*")</f>
        <v>0</v>
      </c>
      <c r="E13" s="8" t="str">
        <f>IFERROR(COUNTIFS('Eval Data'!I$4:I$203,"*Modern Desi*",'Eval Data'!AH$4:AH$203,"Y")/COUNTIF('Eval Data'!I$4:I$203,"*Modern Desi*")*100,"—")</f>
        <v>—</v>
      </c>
      <c r="F13" s="8" t="str">
        <f>IFERROR(COUNTIFS('Eval Data'!I$4:I$203,"*Modern Desi*",'Eval Data'!AB$4:AB$203,"Y")/COUNTIF('Eval Data'!I$4:I$203,"*Modern Desi*")*100,"—")</f>
        <v>—</v>
      </c>
      <c r="G13" s="8" t="str">
        <f>IFERROR(AVERAGEIF('Eval Data'!I$4:I$203,"*Modern Desi*",'Eval Data'!AG$4:AG$203),"—")</f>
        <v>—</v>
      </c>
    </row>
    <row r="14" spans="2:7" ht="16" customHeight="1" x14ac:dyDescent="0.2">
      <c r="B14" s="7" t="s">
        <v>160</v>
      </c>
      <c r="C14" s="8" t="str">
        <f>IFERROR(AVERAGEIF('Eval Data'!I$4:I$203,"*Minimalist Classy*",'Eval Data'!AA$4:AA$203),"—")</f>
        <v>—</v>
      </c>
      <c r="D14" s="8">
        <f>COUNTIF('Eval Data'!I$4:I$203,"*Minimalist Classy*")</f>
        <v>0</v>
      </c>
      <c r="E14" s="8" t="str">
        <f>IFERROR(COUNTIFS('Eval Data'!I$4:I$203,"*Minimalist Classy*",'Eval Data'!AH$4:AH$203,"Y")/COUNTIF('Eval Data'!I$4:I$203,"*Minimalist Classy*")*100,"—")</f>
        <v>—</v>
      </c>
      <c r="F14" s="8" t="str">
        <f>IFERROR(COUNTIFS('Eval Data'!I$4:I$203,"*Minimalist Classy*",'Eval Data'!AB$4:AB$203,"Y")/COUNTIF('Eval Data'!I$4:I$203,"*Minimalist Classy*")*100,"—")</f>
        <v>—</v>
      </c>
      <c r="G14" s="8" t="str">
        <f>IFERROR(AVERAGEIF('Eval Data'!I$4:I$203,"*Minimalist Classy*",'Eval Data'!AG$4:AG$203),"—")</f>
        <v>—</v>
      </c>
    </row>
    <row r="15" spans="2:7" ht="16" customHeight="1" x14ac:dyDescent="0.2">
      <c r="B15" s="7" t="s">
        <v>161</v>
      </c>
      <c r="C15" s="8" t="str">
        <f>IFERROR(AVERAGEIF('Eval Data'!I$4:I$203,"*Artsy Playful*",'Eval Data'!AA$4:AA$203),"—")</f>
        <v>—</v>
      </c>
      <c r="D15" s="8">
        <f>COUNTIF('Eval Data'!I$4:I$203,"*Artsy Playful*")</f>
        <v>0</v>
      </c>
      <c r="E15" s="8" t="str">
        <f>IFERROR(COUNTIFS('Eval Data'!I$4:I$203,"*Artsy Playful*",'Eval Data'!AH$4:AH$203,"Y")/COUNTIF('Eval Data'!I$4:I$203,"*Artsy Playful*")*100,"—")</f>
        <v>—</v>
      </c>
      <c r="F15" s="8" t="str">
        <f>IFERROR(COUNTIFS('Eval Data'!I$4:I$203,"*Artsy Playful*",'Eval Data'!AB$4:AB$203,"Y")/COUNTIF('Eval Data'!I$4:I$203,"*Artsy Playful*")*100,"—")</f>
        <v>—</v>
      </c>
      <c r="G15" s="8" t="str">
        <f>IFERROR(AVERAGEIF('Eval Data'!I$4:I$203,"*Artsy Playful*",'Eval Data'!AG$4:AG$203),"—")</f>
        <v>—</v>
      </c>
    </row>
    <row r="16" spans="2:7" ht="16" customHeight="1" x14ac:dyDescent="0.2">
      <c r="B16" s="7" t="s">
        <v>162</v>
      </c>
      <c r="C16" s="8" t="str">
        <f>IFERROR(AVERAGEIF('Eval Data'!I$4:I$203,"*Soft &amp; Warm*",'Eval Data'!AA$4:AA$203),"—")</f>
        <v>—</v>
      </c>
      <c r="D16" s="8">
        <f>COUNTIF('Eval Data'!I$4:I$203,"*Soft &amp; Warm*")</f>
        <v>0</v>
      </c>
      <c r="E16" s="8" t="str">
        <f>IFERROR(COUNTIFS('Eval Data'!I$4:I$203,"*Soft &amp; Warm*",'Eval Data'!AH$4:AH$203,"Y")/COUNTIF('Eval Data'!I$4:I$203,"*Soft &amp; Warm*")*100,"—")</f>
        <v>—</v>
      </c>
      <c r="F16" s="8" t="str">
        <f>IFERROR(COUNTIFS('Eval Data'!I$4:I$203,"*Soft &amp; Warm*",'Eval Data'!AB$4:AB$203,"Y")/COUNTIF('Eval Data'!I$4:I$203,"*Soft &amp; Warm*")*100,"—")</f>
        <v>—</v>
      </c>
      <c r="G16" s="8" t="str">
        <f>IFERROR(AVERAGEIF('Eval Data'!I$4:I$203,"*Soft &amp; Warm*",'Eval Data'!AG$4:AG$203),"—")</f>
        <v>—</v>
      </c>
    </row>
    <row r="18" spans="2:7" ht="24" customHeight="1" x14ac:dyDescent="0.2">
      <c r="B18" s="27" t="s">
        <v>163</v>
      </c>
      <c r="C18" s="10"/>
      <c r="D18" s="10"/>
      <c r="E18" s="10"/>
      <c r="F18" s="10"/>
      <c r="G18" s="10"/>
    </row>
    <row r="19" spans="2:7" ht="16" customHeight="1" x14ac:dyDescent="0.2">
      <c r="B19" s="6" t="s">
        <v>164</v>
      </c>
      <c r="C19" s="6" t="s">
        <v>149</v>
      </c>
      <c r="D19" s="6" t="s">
        <v>150</v>
      </c>
      <c r="E19" s="6" t="s">
        <v>151</v>
      </c>
      <c r="F19" s="6" t="s">
        <v>152</v>
      </c>
      <c r="G19" s="6" t="s">
        <v>153</v>
      </c>
    </row>
    <row r="20" spans="2:7" ht="16" customHeight="1" x14ac:dyDescent="0.2">
      <c r="B20" s="7" t="s">
        <v>165</v>
      </c>
      <c r="C20" s="8" t="str">
        <f>IFERROR(AVERAGEIF('Eval Data'!D$4:D$203,"*Midjourney*",'Eval Data'!AA$4:AA$203),"—")</f>
        <v>—</v>
      </c>
      <c r="D20" s="8">
        <f>COUNTIF('Eval Data'!D$4:D$203,"*Midjourney*")</f>
        <v>0</v>
      </c>
      <c r="E20" s="8" t="str">
        <f>IFERROR(COUNTIFS('Eval Data'!D$4:D$203,"*Midjourney*",'Eval Data'!AH$4:AH$203,"Y")/COUNTIF('Eval Data'!D$4:D$203,"*Midjourney*")*100,"—")</f>
        <v>—</v>
      </c>
      <c r="F20" s="8" t="str">
        <f>IFERROR(COUNTIFS('Eval Data'!D$4:D$203,"*Midjourney*",'Eval Data'!AB$4:AB$203,"Y")/COUNTIF('Eval Data'!D$4:D$203,"*Midjourney*")*100,"—")</f>
        <v>—</v>
      </c>
      <c r="G20" s="8" t="str">
        <f>IFERROR(AVERAGEIF('Eval Data'!D$4:D$203,"*Midjourney*",'Eval Data'!AG$4:AG$203),"—")</f>
        <v>—</v>
      </c>
    </row>
    <row r="21" spans="2:7" ht="16" customHeight="1" x14ac:dyDescent="0.2">
      <c r="B21" s="7" t="s">
        <v>166</v>
      </c>
      <c r="C21" s="8" t="str">
        <f>IFERROR(AVERAGEIF('Eval Data'!D$4:D$203,"*Leonardo.AI*",'Eval Data'!AA$4:AA$203),"—")</f>
        <v>—</v>
      </c>
      <c r="D21" s="8">
        <f>COUNTIF('Eval Data'!D$4:D$203,"*Leonardo.AI*")</f>
        <v>0</v>
      </c>
      <c r="E21" s="8" t="str">
        <f>IFERROR(COUNTIFS('Eval Data'!D$4:D$203,"*Leonardo.AI*",'Eval Data'!AH$4:AH$203,"Y")/COUNTIF('Eval Data'!D$4:D$203,"*Leonardo.AI*")*100,"—")</f>
        <v>—</v>
      </c>
      <c r="F21" s="8" t="str">
        <f>IFERROR(COUNTIFS('Eval Data'!D$4:D$203,"*Leonardo.AI*",'Eval Data'!AB$4:AB$203,"Y")/COUNTIF('Eval Data'!D$4:D$203,"*Leonardo.AI*")*100,"—")</f>
        <v>—</v>
      </c>
      <c r="G21" s="8" t="str">
        <f>IFERROR(AVERAGEIF('Eval Data'!D$4:D$203,"*Leonardo.AI*",'Eval Data'!AG$4:AG$203),"—")</f>
        <v>—</v>
      </c>
    </row>
    <row r="22" spans="2:7" ht="16" customHeight="1" x14ac:dyDescent="0.2">
      <c r="B22" s="7" t="s">
        <v>167</v>
      </c>
      <c r="C22" s="8" t="str">
        <f>IFERROR(AVERAGEIF('Eval Data'!D$4:D$203,"*Adobe Firefly (Text)*",'Eval Data'!AA$4:AA$203),"—")</f>
        <v>—</v>
      </c>
      <c r="D22" s="8">
        <f>COUNTIF('Eval Data'!D$4:D$203,"*Adobe Firefly (Text)*")</f>
        <v>0</v>
      </c>
      <c r="E22" s="8" t="str">
        <f>IFERROR(COUNTIFS('Eval Data'!D$4:D$203,"*Adobe Firefly (Text)*",'Eval Data'!AH$4:AH$203,"Y")/COUNTIF('Eval Data'!D$4:D$203,"*Adobe Firefly (Text)*")*100,"—")</f>
        <v>—</v>
      </c>
      <c r="F22" s="8" t="str">
        <f>IFERROR(COUNTIFS('Eval Data'!D$4:D$203,"*Adobe Firefly (Text)*",'Eval Data'!AB$4:AB$203,"Y")/COUNTIF('Eval Data'!D$4:D$203,"*Adobe Firefly (Text)*")*100,"—")</f>
        <v>—</v>
      </c>
      <c r="G22" s="8" t="str">
        <f>IFERROR(AVERAGEIF('Eval Data'!D$4:D$203,"*Adobe Firefly (Text)*",'Eval Data'!AG$4:AG$203),"—")</f>
        <v>—</v>
      </c>
    </row>
    <row r="23" spans="2:7" ht="16" customHeight="1" x14ac:dyDescent="0.2">
      <c r="B23" s="7" t="s">
        <v>168</v>
      </c>
      <c r="C23" s="8" t="str">
        <f>IFERROR(AVERAGEIF('Eval Data'!D$4:D$203,"*Adobe Firefly (No Text)*",'Eval Data'!AA$4:AA$203),"—")</f>
        <v>—</v>
      </c>
      <c r="D23" s="8">
        <f>COUNTIF('Eval Data'!D$4:D$203,"*Adobe Firefly (No Text)*")</f>
        <v>0</v>
      </c>
      <c r="E23" s="8" t="str">
        <f>IFERROR(COUNTIFS('Eval Data'!D$4:D$203,"*Adobe Firefly (No Text)*",'Eval Data'!AH$4:AH$203,"Y")/COUNTIF('Eval Data'!D$4:D$203,"*Adobe Firefly (No Text)*")*100,"—")</f>
        <v>—</v>
      </c>
      <c r="F23" s="8" t="str">
        <f>IFERROR(COUNTIFS('Eval Data'!D$4:D$203,"*Adobe Firefly (No Text)*",'Eval Data'!AB$4:AB$203,"Y")/COUNTIF('Eval Data'!D$4:D$203,"*Adobe Firefly (No Text)*")*100,"—")</f>
        <v>—</v>
      </c>
      <c r="G23" s="8" t="str">
        <f>IFERROR(AVERAGEIF('Eval Data'!D$4:D$203,"*Adobe Firefly (No Text)*",'Eval Data'!AG$4:AG$203),"—")</f>
        <v>—</v>
      </c>
    </row>
    <row r="24" spans="2:7" ht="16" customHeight="1" x14ac:dyDescent="0.2">
      <c r="B24" s="7" t="s">
        <v>169</v>
      </c>
      <c r="C24" s="8" t="str">
        <f>IFERROR(AVERAGEIF('Eval Data'!D$4:D$203,"*Google Gemini*",'Eval Data'!AA$4:AA$203),"—")</f>
        <v>—</v>
      </c>
      <c r="D24" s="8">
        <f>COUNTIF('Eval Data'!D$4:D$203,"*Google Gemini*")</f>
        <v>0</v>
      </c>
      <c r="E24" s="8" t="str">
        <f>IFERROR(COUNTIFS('Eval Data'!D$4:D$203,"*Google Gemini*",'Eval Data'!AH$4:AH$203,"Y")/COUNTIF('Eval Data'!D$4:D$203,"*Google Gemini*")*100,"—")</f>
        <v>—</v>
      </c>
      <c r="F24" s="8" t="str">
        <f>IFERROR(COUNTIFS('Eval Data'!D$4:D$203,"*Google Gemini*",'Eval Data'!AB$4:AB$203,"Y")/COUNTIF('Eval Data'!D$4:D$203,"*Google Gemini*")*100,"—")</f>
        <v>—</v>
      </c>
      <c r="G24" s="8" t="str">
        <f>IFERROR(AVERAGEIF('Eval Data'!D$4:D$203,"*Google Gemini*",'Eval Data'!AG$4:AG$203),"—")</f>
        <v>—</v>
      </c>
    </row>
    <row r="26" spans="2:7" ht="24" customHeight="1" x14ac:dyDescent="0.2">
      <c r="B26" s="26" t="s">
        <v>170</v>
      </c>
      <c r="C26" s="10"/>
      <c r="D26" s="10"/>
      <c r="E26" s="10"/>
      <c r="F26" s="10"/>
      <c r="G26" s="10"/>
    </row>
    <row r="27" spans="2:7" ht="16" customHeight="1" x14ac:dyDescent="0.2">
      <c r="B27" s="6" t="s">
        <v>171</v>
      </c>
      <c r="C27" s="6" t="s">
        <v>149</v>
      </c>
      <c r="D27" s="6" t="s">
        <v>150</v>
      </c>
      <c r="E27" s="6" t="s">
        <v>151</v>
      </c>
      <c r="F27" s="6" t="s">
        <v>152</v>
      </c>
      <c r="G27" s="6"/>
    </row>
    <row r="28" spans="2:7" ht="16" customHeight="1" x14ac:dyDescent="0.2">
      <c r="B28" s="7" t="s">
        <v>172</v>
      </c>
      <c r="C28" s="8" t="str">
        <f>IFERROR(AVERAGEIF('Eval Data'!R$4:R$203,"*Golden Warm*",'Eval Data'!AA$4:AA$203),"—")</f>
        <v>—</v>
      </c>
      <c r="D28" s="8">
        <f>COUNTIF('Eval Data'!R$4:R$203,"*Golden Warm*")</f>
        <v>0</v>
      </c>
      <c r="E28" s="8" t="str">
        <f>IFERROR(COUNTIFS('Eval Data'!R$4:R$203,"*Golden Warm*",'Eval Data'!AH$4:AH$203,"Y")/COUNTIF('Eval Data'!R$4:R$203,"*Golden Warm*")*100,"—")</f>
        <v>—</v>
      </c>
      <c r="F28" s="8" t="str">
        <f>IFERROR(COUNTIFS('Eval Data'!R$4:R$203,"*Golden Warm*",'Eval Data'!AB$4:AB$203,"Y")/COUNTIF('Eval Data'!R$4:R$203,"*Golden Warm*")*100,"—")</f>
        <v>—</v>
      </c>
      <c r="G28" s="8"/>
    </row>
    <row r="29" spans="2:7" ht="16" customHeight="1" x14ac:dyDescent="0.2">
      <c r="B29" s="7" t="s">
        <v>173</v>
      </c>
      <c r="C29" s="8" t="str">
        <f>IFERROR(AVERAGEIF('Eval Data'!R$4:R$203,"*Misty Soft*",'Eval Data'!AA$4:AA$203),"—")</f>
        <v>—</v>
      </c>
      <c r="D29" s="8">
        <f>COUNTIF('Eval Data'!R$4:R$203,"*Misty Soft*")</f>
        <v>0</v>
      </c>
      <c r="E29" s="8" t="str">
        <f>IFERROR(COUNTIFS('Eval Data'!R$4:R$203,"*Misty Soft*",'Eval Data'!AH$4:AH$203,"Y")/COUNTIF('Eval Data'!R$4:R$203,"*Misty Soft*")*100,"—")</f>
        <v>—</v>
      </c>
      <c r="F29" s="8" t="str">
        <f>IFERROR(COUNTIFS('Eval Data'!R$4:R$203,"*Misty Soft*",'Eval Data'!AB$4:AB$203,"Y")/COUNTIF('Eval Data'!R$4:R$203,"*Misty Soft*")*100,"—")</f>
        <v>—</v>
      </c>
      <c r="G29" s="8"/>
    </row>
    <row r="30" spans="2:7" ht="16" customHeight="1" x14ac:dyDescent="0.2">
      <c r="B30" s="7" t="s">
        <v>174</v>
      </c>
      <c r="C30" s="8" t="str">
        <f>IFERROR(AVERAGEIF('Eval Data'!R$4:R$203,"*Bright &amp; Vivid*",'Eval Data'!AA$4:AA$203),"—")</f>
        <v>—</v>
      </c>
      <c r="D30" s="8">
        <f>COUNTIF('Eval Data'!R$4:R$203,"*Bright &amp; Vivid*")</f>
        <v>0</v>
      </c>
      <c r="E30" s="8" t="str">
        <f>IFERROR(COUNTIFS('Eval Data'!R$4:R$203,"*Bright &amp; Vivid*",'Eval Data'!AH$4:AH$203,"Y")/COUNTIF('Eval Data'!R$4:R$203,"*Bright &amp; Vivid*")*100,"—")</f>
        <v>—</v>
      </c>
      <c r="F30" s="8" t="str">
        <f>IFERROR(COUNTIFS('Eval Data'!R$4:R$203,"*Bright &amp; Vivid*",'Eval Data'!AB$4:AB$203,"Y")/COUNTIF('Eval Data'!R$4:R$203,"*Bright &amp; Vivid*")*100,"—")</f>
        <v>—</v>
      </c>
      <c r="G30" s="8"/>
    </row>
    <row r="31" spans="2:7" ht="16" customHeight="1" x14ac:dyDescent="0.2">
      <c r="B31" s="7" t="s">
        <v>175</v>
      </c>
      <c r="C31" s="8" t="str">
        <f>IFERROR(AVERAGEIF('Eval Data'!R$4:R$203,"*Dramatic Rays*",'Eval Data'!AA$4:AA$203),"—")</f>
        <v>—</v>
      </c>
      <c r="D31" s="8">
        <f>COUNTIF('Eval Data'!R$4:R$203,"*Dramatic Rays*")</f>
        <v>0</v>
      </c>
      <c r="E31" s="8" t="str">
        <f>IFERROR(COUNTIFS('Eval Data'!R$4:R$203,"*Dramatic Rays*",'Eval Data'!AH$4:AH$203,"Y")/COUNTIF('Eval Data'!R$4:R$203,"*Dramatic Rays*")*100,"—")</f>
        <v>—</v>
      </c>
      <c r="F31" s="8" t="str">
        <f>IFERROR(COUNTIFS('Eval Data'!R$4:R$203,"*Dramatic Rays*",'Eval Data'!AB$4:AB$203,"Y")/COUNTIF('Eval Data'!R$4:R$203,"*Dramatic Rays*")*100,"—")</f>
        <v>—</v>
      </c>
      <c r="G31" s="8"/>
    </row>
    <row r="32" spans="2:7" ht="16" customHeight="1" x14ac:dyDescent="0.2">
      <c r="B32" s="7" t="s">
        <v>176</v>
      </c>
      <c r="C32" s="8" t="str">
        <f>IFERROR(AVERAGEIF('Eval Data'!R$4:R$203,"*Vintage Film*",'Eval Data'!AA$4:AA$203),"—")</f>
        <v>—</v>
      </c>
      <c r="D32" s="8">
        <f>COUNTIF('Eval Data'!R$4:R$203,"*Vintage Film*")</f>
        <v>0</v>
      </c>
      <c r="E32" s="8" t="str">
        <f>IFERROR(COUNTIFS('Eval Data'!R$4:R$203,"*Vintage Film*",'Eval Data'!AH$4:AH$203,"Y")/COUNTIF('Eval Data'!R$4:R$203,"*Vintage Film*")*100,"—")</f>
        <v>—</v>
      </c>
      <c r="F32" s="8" t="str">
        <f>IFERROR(COUNTIFS('Eval Data'!R$4:R$203,"*Vintage Film*",'Eval Data'!AB$4:AB$203,"Y")/COUNTIF('Eval Data'!R$4:R$203,"*Vintage Film*")*100,"—")</f>
        <v>—</v>
      </c>
      <c r="G32" s="8"/>
    </row>
    <row r="33" spans="2:7" ht="16" customHeight="1" x14ac:dyDescent="0.2">
      <c r="B33" s="7" t="s">
        <v>177</v>
      </c>
      <c r="C33" s="8" t="str">
        <f>IFERROR(AVERAGEIF('Eval Data'!R$4:R$203,"*Soft Pastel*",'Eval Data'!AA$4:AA$203),"—")</f>
        <v>—</v>
      </c>
      <c r="D33" s="8">
        <f>COUNTIF('Eval Data'!R$4:R$203,"*Soft Pastel*")</f>
        <v>0</v>
      </c>
      <c r="E33" s="8" t="str">
        <f>IFERROR(COUNTIFS('Eval Data'!R$4:R$203,"*Soft Pastel*",'Eval Data'!AH$4:AH$203,"Y")/COUNTIF('Eval Data'!R$4:R$203,"*Soft Pastel*")*100,"—")</f>
        <v>—</v>
      </c>
      <c r="F33" s="8" t="str">
        <f>IFERROR(COUNTIFS('Eval Data'!R$4:R$203,"*Soft Pastel*",'Eval Data'!AB$4:AB$203,"Y")/COUNTIF('Eval Data'!R$4:R$203,"*Soft Pastel*")*100,"—")</f>
        <v>—</v>
      </c>
      <c r="G33" s="8"/>
    </row>
    <row r="35" spans="2:7" ht="24" customHeight="1" x14ac:dyDescent="0.2">
      <c r="B35" s="23" t="s">
        <v>178</v>
      </c>
      <c r="C35" s="10"/>
      <c r="D35" s="10"/>
      <c r="E35" s="10"/>
      <c r="F35" s="10"/>
      <c r="G35" s="10"/>
    </row>
    <row r="36" spans="2:7" ht="16" customHeight="1" x14ac:dyDescent="0.2">
      <c r="B36" s="6" t="s">
        <v>179</v>
      </c>
      <c r="C36" s="6" t="s">
        <v>180</v>
      </c>
      <c r="D36" s="6"/>
      <c r="E36" s="6"/>
      <c r="F36" s="6"/>
      <c r="G36" s="6"/>
    </row>
    <row r="37" spans="2:7" ht="16" customHeight="1" x14ac:dyDescent="0.2">
      <c r="B37" s="7" t="s">
        <v>181</v>
      </c>
      <c r="C37" s="8">
        <f>COUNTIF('Eval Data'!AI$4:AI$203,"*Missing main element*")</f>
        <v>0</v>
      </c>
      <c r="D37" s="8"/>
      <c r="E37" s="8"/>
      <c r="F37" s="8"/>
      <c r="G37" s="8"/>
    </row>
    <row r="38" spans="2:7" ht="16" customHeight="1" x14ac:dyDescent="0.2">
      <c r="B38" s="7" t="s">
        <v>182</v>
      </c>
      <c r="C38" s="8">
        <f>COUNTIF('Eval Data'!AI$4:AI$203,"*Supporting element missing*")</f>
        <v>0</v>
      </c>
      <c r="D38" s="8"/>
      <c r="E38" s="8"/>
      <c r="F38" s="8"/>
      <c r="G38" s="8"/>
    </row>
    <row r="39" spans="2:7" ht="16" customHeight="1" x14ac:dyDescent="0.2">
      <c r="B39" s="7" t="s">
        <v>183</v>
      </c>
      <c r="C39" s="8">
        <f>COUNTIF('Eval Data'!AI$4:AI$203,"*Wrong track style*")</f>
        <v>0</v>
      </c>
      <c r="D39" s="8"/>
      <c r="E39" s="8"/>
      <c r="F39" s="8"/>
      <c r="G39" s="8"/>
    </row>
    <row r="40" spans="2:7" ht="16" customHeight="1" x14ac:dyDescent="0.2">
      <c r="B40" s="7" t="s">
        <v>184</v>
      </c>
      <c r="C40" s="8">
        <f>COUNTIF('Eval Data'!AI$4:AI$203,"*Colour mismatch*")</f>
        <v>0</v>
      </c>
      <c r="D40" s="8"/>
      <c r="E40" s="8"/>
      <c r="F40" s="8"/>
      <c r="G40" s="8"/>
    </row>
    <row r="41" spans="2:7" ht="16" customHeight="1" x14ac:dyDescent="0.2">
      <c r="B41" s="7" t="s">
        <v>185</v>
      </c>
      <c r="C41" s="8">
        <f>COUNTIF('Eval Data'!AI$4:AI$203,"*Text zone blocked*")</f>
        <v>0</v>
      </c>
      <c r="D41" s="8"/>
      <c r="E41" s="8"/>
      <c r="F41" s="8"/>
      <c r="G41" s="8"/>
    </row>
    <row r="42" spans="2:7" ht="16" customHeight="1" x14ac:dyDescent="0.2">
      <c r="B42" s="7" t="s">
        <v>186</v>
      </c>
      <c r="C42" s="8">
        <f>COUNTIF('Eval Data'!AI$4:AI$203,"*Frame structure wrong*")</f>
        <v>0</v>
      </c>
      <c r="D42" s="8"/>
      <c r="E42" s="8"/>
      <c r="F42" s="8"/>
      <c r="G42" s="8"/>
    </row>
    <row r="43" spans="2:7" ht="16" customHeight="1" x14ac:dyDescent="0.2">
      <c r="B43" s="7" t="s">
        <v>187</v>
      </c>
      <c r="C43" s="8">
        <f>COUNTIF('Eval Data'!AI$4:AI$203,"*Illustration size wrong*")</f>
        <v>0</v>
      </c>
      <c r="D43" s="8"/>
      <c r="E43" s="8"/>
      <c r="F43" s="8"/>
      <c r="G43" s="8"/>
    </row>
    <row r="44" spans="2:7" ht="16" customHeight="1" x14ac:dyDescent="0.2">
      <c r="B44" s="7" t="s">
        <v>188</v>
      </c>
      <c r="C44" s="8">
        <f>COUNTIF('Eval Data'!AI$4:AI$203,"*Lighting/mood mismatch*")</f>
        <v>0</v>
      </c>
      <c r="D44" s="8"/>
      <c r="E44" s="8"/>
      <c r="F44" s="8"/>
      <c r="G44" s="8"/>
    </row>
    <row r="45" spans="2:7" ht="16" customHeight="1" x14ac:dyDescent="0.2">
      <c r="B45" s="7" t="s">
        <v>189</v>
      </c>
      <c r="C45" s="8">
        <f>COUNTIF('Eval Data'!AI$4:AI$203,"*Bad render style*")</f>
        <v>0</v>
      </c>
      <c r="D45" s="8"/>
      <c r="E45" s="8"/>
      <c r="F45" s="8"/>
      <c r="G45" s="8"/>
    </row>
    <row r="46" spans="2:7" ht="16" customHeight="1" x14ac:dyDescent="0.2">
      <c r="B46" s="7" t="s">
        <v>190</v>
      </c>
      <c r="C46" s="8">
        <f>COUNTIF('Eval Data'!AI$4:AI$203,"*AI text visible*")</f>
        <v>0</v>
      </c>
      <c r="D46" s="8"/>
      <c r="E46" s="8"/>
      <c r="F46" s="8"/>
      <c r="G46" s="8"/>
    </row>
    <row r="47" spans="2:7" ht="16" customHeight="1" x14ac:dyDescent="0.2">
      <c r="B47" s="7" t="s">
        <v>191</v>
      </c>
      <c r="C47" s="8">
        <f>COUNTIF('Eval Data'!AI$4:AI$203,"*Artifacts/distortion*")</f>
        <v>0</v>
      </c>
      <c r="D47" s="8"/>
      <c r="E47" s="8"/>
      <c r="F47" s="8"/>
      <c r="G47" s="8"/>
    </row>
    <row r="49" spans="2:7" ht="18" customHeight="1" x14ac:dyDescent="0.2">
      <c r="B49" s="25" t="s">
        <v>192</v>
      </c>
      <c r="C49" s="10"/>
      <c r="D49" s="10"/>
      <c r="E49" s="10"/>
      <c r="F49" s="10"/>
      <c r="G49" s="10"/>
    </row>
  </sheetData>
  <mergeCells count="7">
    <mergeCell ref="B2:G2"/>
    <mergeCell ref="B10:G10"/>
    <mergeCell ref="B35:G35"/>
    <mergeCell ref="B4:G4"/>
    <mergeCell ref="B49:G49"/>
    <mergeCell ref="B26:G26"/>
    <mergeCell ref="B18:G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Eval Data</vt:lpstr>
      <vt:lpstr>Instructions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Kohli</cp:lastModifiedBy>
  <dcterms:created xsi:type="dcterms:W3CDTF">2026-04-29T07:39:46Z</dcterms:created>
  <dcterms:modified xsi:type="dcterms:W3CDTF">2026-04-29T09:59:59Z</dcterms:modified>
</cp:coreProperties>
</file>